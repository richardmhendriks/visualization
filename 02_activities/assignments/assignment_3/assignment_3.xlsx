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/Users/home/DSI/visualization copy/02_activities/assignments/"/>
    </mc:Choice>
  </mc:AlternateContent>
  <xr:revisionPtr revIDLastSave="0" documentId="13_ncr:1_{D37C0A3F-182B-C942-8222-A48D093972C9}" xr6:coauthVersionLast="47" xr6:coauthVersionMax="47" xr10:uidLastSave="{00000000-0000-0000-0000-000000000000}"/>
  <bookViews>
    <workbookView xWindow="0" yWindow="500" windowWidth="28900" windowHeight="14980" tabRatio="900" activeTab="3" xr2:uid="{00000000-000D-0000-FFFF-FFFF00000000}"/>
  </bookViews>
  <sheets>
    <sheet name="ORIGINAL" sheetId="4" r:id="rId1"/>
    <sheet name="EXCEL" sheetId="5" r:id="rId2"/>
    <sheet name="PYTHON-1" sheetId="7" r:id="rId3"/>
    <sheet name="PYTHON-2" sheetId="8" r:id="rId4"/>
    <sheet name="MARKDOWN" sheetId="6" r:id="rId5"/>
  </sheets>
  <definedNames>
    <definedName name="_xlnm._FilterDatabase" localSheetId="1" hidden="1">EXCEL!$H$18:$K$18</definedName>
    <definedName name="_xlnm._FilterDatabase" localSheetId="0" hidden="1">ORIGINAL!$A$3:$F$62</definedName>
    <definedName name="_xlnm._FilterDatabase" localSheetId="2" hidden="1">'PYTHON-1'!$A$1:$F$1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5" l="1"/>
  <c r="I34" i="5" s="1"/>
  <c r="I4" i="5"/>
  <c r="I21" i="5" l="1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J20" i="5"/>
  <c r="K20" i="5"/>
  <c r="I5" i="5"/>
  <c r="J5" i="5"/>
  <c r="K5" i="5"/>
  <c r="I6" i="5"/>
  <c r="J6" i="5"/>
  <c r="K6" i="5"/>
  <c r="J4" i="5"/>
  <c r="K4" i="5"/>
  <c r="I29" i="5" l="1"/>
  <c r="I35" i="5"/>
  <c r="I36" i="5" s="1"/>
  <c r="I37" i="5" s="1"/>
  <c r="I38" i="5" s="1"/>
  <c r="I39" i="5" s="1"/>
  <c r="I40" i="5" s="1"/>
  <c r="I41" i="5" s="1"/>
  <c r="I42" i="5" s="1"/>
  <c r="K34" i="5"/>
  <c r="K35" i="5" s="1"/>
  <c r="K36" i="5" s="1"/>
  <c r="K37" i="5" s="1"/>
  <c r="K38" i="5" s="1"/>
  <c r="K39" i="5" s="1"/>
  <c r="K40" i="5" s="1"/>
  <c r="K41" i="5" s="1"/>
  <c r="K42" i="5" s="1"/>
  <c r="K29" i="5"/>
  <c r="J34" i="5"/>
  <c r="J35" i="5" s="1"/>
  <c r="J36" i="5" s="1"/>
  <c r="J37" i="5" s="1"/>
  <c r="J38" i="5" s="1"/>
  <c r="J39" i="5" s="1"/>
  <c r="J40" i="5" s="1"/>
  <c r="J41" i="5" s="1"/>
  <c r="J42" i="5" s="1"/>
  <c r="J29" i="5"/>
  <c r="L25" i="5"/>
  <c r="L21" i="5"/>
  <c r="L26" i="5"/>
  <c r="L22" i="5"/>
  <c r="L27" i="5"/>
  <c r="L23" i="5"/>
  <c r="L28" i="5"/>
  <c r="L24" i="5"/>
  <c r="L20" i="5"/>
  <c r="L34" i="5" s="1"/>
  <c r="L4" i="5"/>
  <c r="L5" i="5"/>
  <c r="L6" i="5"/>
  <c r="L35" i="5" l="1"/>
  <c r="L36" i="5" s="1"/>
  <c r="L37" i="5" s="1"/>
  <c r="L38" i="5" s="1"/>
  <c r="L39" i="5" s="1"/>
  <c r="L40" i="5" s="1"/>
  <c r="L41" i="5" s="1"/>
  <c r="L42" i="5" s="1"/>
  <c r="L29" i="5"/>
  <c r="L7" i="5" l="1"/>
  <c r="L12" i="5" s="1"/>
  <c r="K7" i="5"/>
  <c r="K13" i="5" s="1"/>
  <c r="I7" i="5"/>
  <c r="I14" i="5" s="1"/>
  <c r="J7" i="5"/>
  <c r="J13" i="5" s="1"/>
  <c r="I12" i="5" l="1"/>
  <c r="J12" i="5"/>
  <c r="I13" i="5"/>
  <c r="K12" i="5"/>
  <c r="J14" i="5"/>
  <c r="K14" i="5"/>
  <c r="L13" i="5"/>
  <c r="L14" i="5"/>
  <c r="J15" i="5" l="1"/>
  <c r="L15" i="5"/>
  <c r="I15" i="5"/>
  <c r="K15" i="5"/>
</calcChain>
</file>

<file path=xl/sharedStrings.xml><?xml version="1.0" encoding="utf-8"?>
<sst xmlns="http://schemas.openxmlformats.org/spreadsheetml/2006/main" count="747" uniqueCount="220">
  <si>
    <t>Agincourt Recreation Centre Indoor Pool</t>
  </si>
  <si>
    <t>Centennial Recreation Centre Indoor Pool</t>
  </si>
  <si>
    <t>Gihon Spring Outdoor Pool</t>
  </si>
  <si>
    <t>Park Lawn Outdoor Pool</t>
  </si>
  <si>
    <t>Rotary Outdoor Pool</t>
  </si>
  <si>
    <t>Weston Lions Outdoor Pool</t>
  </si>
  <si>
    <t>Horgan Water Treatment Plant</t>
  </si>
  <si>
    <t>Central Maintenance Garage</t>
  </si>
  <si>
    <t>Fire Hall 424</t>
  </si>
  <si>
    <t>462 Runnymede Rd</t>
  </si>
  <si>
    <t>Fire Hall 334</t>
  </si>
  <si>
    <t>339 Queens Quay W</t>
  </si>
  <si>
    <t>East York Civic Centre</t>
  </si>
  <si>
    <t>Keele Valley Landfill Site</t>
  </si>
  <si>
    <t>Bio-energy</t>
  </si>
  <si>
    <t>55 John St</t>
  </si>
  <si>
    <t>Metro Hall</t>
  </si>
  <si>
    <t>100 Queen St W</t>
  </si>
  <si>
    <t>City Hall</t>
  </si>
  <si>
    <t>40 College St</t>
  </si>
  <si>
    <t>Police Headquarters</t>
  </si>
  <si>
    <t>60 Queen St W</t>
  </si>
  <si>
    <t>Old City Hall</t>
  </si>
  <si>
    <t>71 Front St W</t>
  </si>
  <si>
    <t>Union Station</t>
  </si>
  <si>
    <t>2054 Davenport Rd</t>
  </si>
  <si>
    <t>Geothermal</t>
  </si>
  <si>
    <t>70 Birmingham St</t>
  </si>
  <si>
    <t>5176 Yonge St</t>
  </si>
  <si>
    <t>Young Hearts Child Care Centre</t>
  </si>
  <si>
    <t>711 Lakeshore Blvd W</t>
  </si>
  <si>
    <t>Coronation Park</t>
  </si>
  <si>
    <t>2140 Avenue Rd</t>
  </si>
  <si>
    <t>Armour Heights Community Centre</t>
  </si>
  <si>
    <t>843 Eastern Ave</t>
  </si>
  <si>
    <t>2050 Jane St</t>
  </si>
  <si>
    <t>707 Dundas St W</t>
  </si>
  <si>
    <t>Scadding Court Community Centre</t>
  </si>
  <si>
    <t>Fire Hall 231</t>
  </si>
  <si>
    <t>8500 Sheppard Ave E</t>
  </si>
  <si>
    <t>Fire Hall 212</t>
  </si>
  <si>
    <t>140 Lansdowne Ave</t>
  </si>
  <si>
    <t>Fire Hall 426</t>
  </si>
  <si>
    <t>200 Dawes Rd</t>
  </si>
  <si>
    <t>400 The West Mall</t>
  </si>
  <si>
    <t>870 Queen St E</t>
  </si>
  <si>
    <t>1485 Albion Rd</t>
  </si>
  <si>
    <t>Albion Community Centre</t>
  </si>
  <si>
    <t>Victoria Village Arena</t>
  </si>
  <si>
    <t>Toronto Police College</t>
  </si>
  <si>
    <t>McGregor Arena</t>
  </si>
  <si>
    <t>Mimico Arena</t>
  </si>
  <si>
    <t>600 Roding St</t>
  </si>
  <si>
    <t>190 Bermondsey Rd</t>
  </si>
  <si>
    <t>23 Grandravine Dr</t>
  </si>
  <si>
    <t>31 Glen Watford Dr</t>
  </si>
  <si>
    <t>45 Goulding Ave</t>
  </si>
  <si>
    <t>2231 Lawrence Ave E</t>
  </si>
  <si>
    <t>31 Drummond St</t>
  </si>
  <si>
    <t>2539 Bayview Ave</t>
  </si>
  <si>
    <t>Generated</t>
  </si>
  <si>
    <t>Purchased</t>
  </si>
  <si>
    <t>75 Gihon Spring Dr</t>
  </si>
  <si>
    <t>1967 Ellesmere Rd</t>
  </si>
  <si>
    <t>340 Park Lawn Rd</t>
  </si>
  <si>
    <t>25 11th Street</t>
  </si>
  <si>
    <t>2125 Lawrence Ave W</t>
  </si>
  <si>
    <t>9 Hanna Ave</t>
  </si>
  <si>
    <t xml:space="preserve"> 850 Coxwell Ave</t>
  </si>
  <si>
    <t>Neilson Creative Centre</t>
  </si>
  <si>
    <t>EMS Station 33</t>
  </si>
  <si>
    <t>131 Finch Ave W</t>
  </si>
  <si>
    <t>56 Neilson Dr</t>
  </si>
  <si>
    <t>760 Dovercourt Rd</t>
  </si>
  <si>
    <t>2700 Eglinton Ave W</t>
  </si>
  <si>
    <t>High Park Teaching Kitchen</t>
  </si>
  <si>
    <t>Dawes Crossing</t>
  </si>
  <si>
    <t>25 Mendelssohn St</t>
  </si>
  <si>
    <t>Exhibition Place - Press Building</t>
  </si>
  <si>
    <t xml:space="preserve">Police Divison No.11 </t>
  </si>
  <si>
    <t>Police Division No.14</t>
  </si>
  <si>
    <t>7 Eaglet Court</t>
  </si>
  <si>
    <t>Deep Lake Water Cooling</t>
  </si>
  <si>
    <t>Solar Air Heating</t>
  </si>
  <si>
    <t>Solar Hot Water</t>
  </si>
  <si>
    <t>Solar Photovoltaic (PV)</t>
  </si>
  <si>
    <t>Wind Turbine</t>
  </si>
  <si>
    <t xml:space="preserve">Police Garage </t>
  </si>
  <si>
    <t>Birchmount Recreation Centre</t>
  </si>
  <si>
    <t>Wesburn Manor</t>
  </si>
  <si>
    <t>Jimmie Simpson Recreatiion Centre</t>
  </si>
  <si>
    <t>True Davidson Acres</t>
  </si>
  <si>
    <t>York Mills Community Centre &amp; Arena</t>
  </si>
  <si>
    <t>Grandravine Community Centre</t>
  </si>
  <si>
    <t>Roding Community Centre</t>
  </si>
  <si>
    <t>Goulding Community Centre</t>
  </si>
  <si>
    <t>Agincourt Community Centre &amp; Arena</t>
  </si>
  <si>
    <t>Edithvale Community Centre</t>
  </si>
  <si>
    <t>York Civic Centre</t>
  </si>
  <si>
    <t>Warden Hilltop Community Centre</t>
  </si>
  <si>
    <t>Hosted</t>
  </si>
  <si>
    <t>Exhibition Place</t>
  </si>
  <si>
    <t>Exhibition Place-Horse Palace</t>
  </si>
  <si>
    <t>Exhibition Place-Horse Palace 2</t>
  </si>
  <si>
    <t>Exhibition Place-Better Living Centre</t>
  </si>
  <si>
    <t>740 Markham Rd</t>
  </si>
  <si>
    <t>350 Dovercourt Rd</t>
  </si>
  <si>
    <t>201 Copperfield Rd</t>
  </si>
  <si>
    <t>210 Princes’ Boulevard</t>
  </si>
  <si>
    <t>105 Colborne Lodge Dr</t>
  </si>
  <si>
    <t>9 Hanna Ave - Parking Garage</t>
  </si>
  <si>
    <t>City of Toronto Renewable Energy Projects for OPEN DATA (Only Completed Projects)</t>
  </si>
  <si>
    <t>Malvern Community Centre</t>
  </si>
  <si>
    <t>30 Sewells Road</t>
  </si>
  <si>
    <t>R_LOCATION</t>
  </si>
  <si>
    <t>R_BUILDING</t>
  </si>
  <si>
    <t>R_TYPE</t>
  </si>
  <si>
    <t>R_YR_INSTA</t>
  </si>
  <si>
    <t>R_SIZE  (ekW)</t>
  </si>
  <si>
    <t>1052 Victoria Park Ave</t>
  </si>
  <si>
    <t>93 Birchmount Rd</t>
  </si>
  <si>
    <t>Updated: 24-Oct-2014</t>
  </si>
  <si>
    <t>Install Year</t>
  </si>
  <si>
    <t>Solar Type</t>
  </si>
  <si>
    <t>Total</t>
  </si>
  <si>
    <t>(eKW)</t>
  </si>
  <si>
    <t>R_System_Ownership</t>
  </si>
  <si>
    <t>(%)</t>
  </si>
  <si>
    <t>Table 1a. Solar Renewable Energy (eKW) by Type (2006-2014)</t>
  </si>
  <si>
    <t>Table 1b. Solar Renewable Energy (%) by Type (2006-2014)</t>
  </si>
  <si>
    <t xml:space="preserve">Table 0. City of Toronto Renewable Energy Projects				</t>
  </si>
  <si>
    <t>Table 2. Solar Photovoltaic Installations by Year (2006-2014)</t>
  </si>
  <si>
    <t>Table 3. Cumulative Solar Photovoltaic Installations by Year (2006-2014)</t>
  </si>
  <si>
    <t>Table 0</t>
  </si>
  <si>
    <t xml:space="preserve">Change title of original data table to "Table 0. City of Toronto Renewable Energy Projects"	</t>
  </si>
  <si>
    <t>In Table 0, highlight the Header Row and toggle on the "Filter" under "Sort &amp; Filter"</t>
  </si>
  <si>
    <t>In Table 0, sort ascending alphabetically by Column A "R_Building"</t>
  </si>
  <si>
    <t>Table 1a and Table 1b</t>
  </si>
  <si>
    <t>=SUMIFS(sum_range, criteria_range1, criteria1, criteria_range2, criteria2), where</t>
  </si>
  <si>
    <t>"sum_range" is Table 0, Column E  "R_Size" all values</t>
  </si>
  <si>
    <t>"criteria_range1" is Table 0, Column C "R_Type" all values</t>
  </si>
  <si>
    <t>"criteria_range2" is Table 0, Column D "R_System_Ownership" all values</t>
  </si>
  <si>
    <t>"criteria 2" is Table 1a, Row 2 values for ownership type by corresponding column</t>
  </si>
  <si>
    <t>Highlight Table 1a, including the table title, and copy and paste the entire table into Cell H9; retitle Cell H9 as "Table 1b. Solar Renewable Energy (%) by Type (2006-2014)"</t>
  </si>
  <si>
    <t>In Table 1b, clear the contents of cells I12:L14</t>
  </si>
  <si>
    <t>=(part/whole)*100, where:</t>
  </si>
  <si>
    <t>Figure 1</t>
  </si>
  <si>
    <t>In Table 1a, highlight cells H2:L6 and insert clustered column graph as Figure 1</t>
  </si>
  <si>
    <t>In Figure 1, right click and "Select Data" and change Horizontal Category Axis Labels from "=REVISED!$I$2:$L$3" to =REVISED!$I$2:$L$2"</t>
  </si>
  <si>
    <t>In Figure 1, right click on the first series of columns corresponding to "Solar Photovoltaic"; click on "Add Data Labels"</t>
  </si>
  <si>
    <t xml:space="preserve">In Figure 1, right click on the first series of columns corresponding to "Solar Photovoltaic"; click on "Format Data Labels"; </t>
  </si>
  <si>
    <t>in the Format Data Labels dialogue box, toggle on "value from cells" and in the pop-up window enter "=REVISED!$I$12:$K$12", the corresponding percentages from Table 1b</t>
  </si>
  <si>
    <t>in the Format Data Labels dialogue box, toggle off "value"</t>
  </si>
  <si>
    <t>In Figure 1, right click on the second series of columns corresponding to "Solar Hot Water"; click on "Add Data Labels"</t>
  </si>
  <si>
    <t xml:space="preserve">In Figure 1, right click on the second series of columns corresponding to "Solar Hot Water"; click on "Format Data Labels"; </t>
  </si>
  <si>
    <t>in the Format Data Labels dialogue box, toggle on "value from cells" and in the pop-up window enter "=REVISED!$I$13:$K$13", the corresponding percentages from Table 1b</t>
  </si>
  <si>
    <t>In Figure 1, right click on the third series of columns corresponding to "Solar Air Heating"; click on "Add Data Labels"</t>
  </si>
  <si>
    <t xml:space="preserve">In Figure 1, right click on the third series of columns corresponding to "Solar Air Heating"; click on "Format Data Labels"; </t>
  </si>
  <si>
    <t>in the Format Data Labels dialogue box, toggle on "value from cells" and in the pop-up window enter "=REVISED!$I$14:$K$14", the corresponding percentages from Table 1b</t>
  </si>
  <si>
    <t>Click on Figure 1, click on Chart Design from the ribbon, click on Add Chart Element, Axis Titles, Primary Vertical</t>
  </si>
  <si>
    <t>In Figure 1, label the new vertical axis title as "Installed Capacity (eKW)"</t>
  </si>
  <si>
    <t>In Figure 1, right click and selent "Font" and toggle Font Style to "Bold", Font Size to "12" and "Font Color" to "Theme Color" Black</t>
  </si>
  <si>
    <t>Table 2</t>
  </si>
  <si>
    <t>From Table 0, copy and paste column R_YR_INSTA into Column N, delete the row header "R_INSTA", remove duplicates to retain only the installation years</t>
  </si>
  <si>
    <t>Cut and paste the installation years in Column N into Table 2, Cell H20</t>
  </si>
  <si>
    <t>In Table 2, add a fifth column, Column L, with a row header titled "Total"</t>
  </si>
  <si>
    <t>In Table 2, highlight the Units Row and toggle on the "Filter" under "Sort &amp; Filter"</t>
  </si>
  <si>
    <t>In Table 2, sort ascending by Column H "Install Year"</t>
  </si>
  <si>
    <t>In Table 2, populate Cell L17 with "Solar Photovoltaic (PV)" to be used as a cell formula reference</t>
  </si>
  <si>
    <t>In Table 2, use SUMIFS to sum solar photovoltaic data by solar year and solar ownership using the general formula:</t>
  </si>
  <si>
    <t>=SUMIFS(sum_range, criteria_range1, criteria1, criteria_range2, criteria2, criteria_range3, criteria3), where</t>
  </si>
  <si>
    <t>"criteria_range"1 is Table 0, Column C "R_Type" all values</t>
  </si>
  <si>
    <t>"criteria 1" is Table 2, Cell L17 "Solar Photovoltaic (PV)"</t>
  </si>
  <si>
    <t>"criteria 2" is Table 2, Row 18 values for ownership type by corresponding column</t>
  </si>
  <si>
    <t>"criteria_range3" is Table 0, Column F "R_YR_INSTA" all values</t>
  </si>
  <si>
    <t>Table 3</t>
  </si>
  <si>
    <t>Highlight Table 2, including the table title, and copy and paste the entire table into Cell H31; retitle Cell H31 as "Table 3. Cumulative Solar Photovoltaic Installations by Year (2006-2014)"</t>
  </si>
  <si>
    <t>In Table 3, clear the contents of cells I34:L42</t>
  </si>
  <si>
    <t>In Table 3, Row 34, set these values equal to the corresponding values in Table 2, Row 20</t>
  </si>
  <si>
    <t>In Table 3, for cells I35:L42, calculate cumulative running totals for solar photovolatics by year and solar ownership type, including for the "Total" Column L by using the general formula:</t>
  </si>
  <si>
    <t>=Year(N-1)+Year(N), where:</t>
  </si>
  <si>
    <t>source:</t>
  </si>
  <si>
    <t>https://open.toronto.ca/dataset/renewable-energy-installations/</t>
  </si>
  <si>
    <t>MARKDOWN for the Excel Visualization</t>
  </si>
  <si>
    <t>MARKDOWN for the Excel version of the Python Visualization</t>
  </si>
  <si>
    <t>NOTE: I also created the Python visualization using Excel for comparison purposes</t>
  </si>
  <si>
    <t>In Table 0, delete Row 2 showing the updated date "Updated: 24-Oct-2014"</t>
  </si>
  <si>
    <t>"criteria 1" is Table 1a, Column H values by corresponding Row (i.e. by "Solar Type")</t>
  </si>
  <si>
    <t>In Table 1a, insert a new Row at the bottom of the table;  label this Row "Total" in Column H</t>
  </si>
  <si>
    <t>In Table 1a, sum total solar renewable energy by ownership type into the "Total" Row</t>
  </si>
  <si>
    <t>In Table 1b, in the Units Row directly below the Header Row, replace the units in this Row as "(%)" for Column I through Column L (i.e. except Column H "Solar Type")</t>
  </si>
  <si>
    <t>part is the corresponding value by Row and by column in Table 1a</t>
  </si>
  <si>
    <t>whole is the corresponding value in the "Total" Row by column in Table 1a</t>
  </si>
  <si>
    <t>In Table 1b, the "Total" Row should automatically calculate as the sum formula remains from Table 1a</t>
  </si>
  <si>
    <t>Highlight the title, header Row and units Row of Table 1a and copy and paste into Cell H17; retitle Cell H17 as "Table 2. Solar Photovoltaic Installations by Year (2006-2014)"; retitle Cell H18 as "Install Year"</t>
  </si>
  <si>
    <t>In Table 2, insert a new "Units Row" directly below the header Row; populate the units in this Row as "(ekW)" for Column I through Column L (i.e. except Column H "Install Year")</t>
  </si>
  <si>
    <t>"criteria 3" is Table 2, Column H values for installation year by corresponding Row</t>
  </si>
  <si>
    <t>In Table 2, delete all Rows prior to the year 2006</t>
  </si>
  <si>
    <t>In Table 2, sum total solar photovoltaic by Row into the "Total" Column L</t>
  </si>
  <si>
    <t>In Table 2, insert a new Row at the bottom of the table; label this Row "Total" in Column H</t>
  </si>
  <si>
    <t>In Table 2, sum total solar photovoltaic by ownership type into the "Total" Row</t>
  </si>
  <si>
    <t>"Year N-1" is the corresponding value by column in Table 3 for the prior Row year (e.g. for Cell I35, this is the value in Cell I34)</t>
  </si>
  <si>
    <t>"Year N" is the corresponding value by column in Table 2 for the current Row year (e.g. for Cell I35, this is the value in Table 2, Cell I21)</t>
  </si>
  <si>
    <t>From Table 0, copy and paste column "R_TYPE" into Column H, delete the row header "R_Type", remove duplicates to retain only the three Solar Types</t>
  </si>
  <si>
    <t>In Column H, insert two new cells above the three Solar Types; label Cell H1 as "Table 1a. Solar Renewable Energy (eKW) by Type (2006-2014)"; label Cell H2 as "Solar Type"</t>
  </si>
  <si>
    <t>In Table 1a, for cells I4:K6, use SUMIFS to sum data by Solar Type and solar ownership using the general formula:</t>
  </si>
  <si>
    <t>In Table 1a, sum total solar renewable energy by Solar Type by Row into the "Total" Column L</t>
  </si>
  <si>
    <t>In Table 1b, for cells I12:L14, calculate percentages for solar renewable energy by Solar Type and solar ownership type, including for the "Total" Column L by using the general formula:</t>
  </si>
  <si>
    <t>From Column N, copy and transpose the three ownership types to create three new column headings in Row 2 of Table 1a</t>
  </si>
  <si>
    <t>From Table 0, copy and paste column "R_System_Ownership" into Column N, retain the row header "R_System_Ownership", in the list remove duplicates to retain only the three ownership types</t>
  </si>
  <si>
    <t>In Table 1a, add a fifth column, Column L, with a column heading titled "Total"</t>
  </si>
  <si>
    <t>In Table 1a, insert a new "Units Row" directly below the Header Row; populate the units in this Units Row as "(ekW)" for Column I through Column L (i.e. except Column H "Solar Type")</t>
  </si>
  <si>
    <t>In Table 1b, change the formatting of cells I12:L15 to "Percent" using the "Cell Styles" on the ribbon</t>
  </si>
  <si>
    <t>In Figure 1, insert Chart Title "1. City of Toronto - Solar Installations by Solar Type and by Share of Ownership Type (2006-2014)"</t>
  </si>
  <si>
    <t>In Figure 1, on the Format tab, click Insert Shapes and then click the Text Box icon; position a text box of height 2 cm and width 10 cm in the upper left corner of the chart grid space, and populate the text box with the following text:</t>
  </si>
  <si>
    <t>Solar Ownership Types</t>
  </si>
  <si>
    <t>• Generated (owned and operated by the City of Toronto)</t>
  </si>
  <si>
    <t>• Purchased (by the City of Toronto from a third-party provider)</t>
  </si>
  <si>
    <t xml:space="preserve">• Hosted (by the City but owned by a third-party) </t>
  </si>
  <si>
    <t>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</si>
</sst>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70">
    <xf numFmtId="0" fontId="0" fillId="0" borderId="0" xfId="0"/>
    <xf numFmtId="0" fontId="7" fillId="0" borderId="0" xfId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2" xfId="1" applyBorder="1" applyAlignment="1">
      <alignment horizontal="left"/>
    </xf>
    <xf numFmtId="0" fontId="1" fillId="0" borderId="2" xfId="1" applyFont="1" applyBorder="1" applyAlignment="1">
      <alignment horizontal="right"/>
    </xf>
    <xf numFmtId="0" fontId="7" fillId="0" borderId="2" xfId="1" applyBorder="1" applyAlignment="1">
      <alignment horizontal="right"/>
    </xf>
    <xf numFmtId="0" fontId="6" fillId="0" borderId="2" xfId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/>
    </xf>
    <xf numFmtId="0" fontId="4" fillId="3" borderId="2" xfId="1" applyFont="1" applyFill="1" applyBorder="1" applyAlignment="1">
      <alignment horizontal="right"/>
    </xf>
    <xf numFmtId="0" fontId="7" fillId="3" borderId="2" xfId="1" applyFill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" fillId="0" borderId="2" xfId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3" borderId="2" xfId="2" applyNumberFormat="1" applyFont="1" applyFill="1" applyBorder="1" applyAlignment="1">
      <alignment horizontal="right"/>
    </xf>
    <xf numFmtId="0" fontId="7" fillId="0" borderId="2" xfId="2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/>
    </xf>
    <xf numFmtId="0" fontId="7" fillId="0" borderId="3" xfId="1" applyBorder="1" applyAlignment="1">
      <alignment horizontal="left"/>
    </xf>
    <xf numFmtId="0" fontId="7" fillId="0" borderId="3" xfId="1" applyBorder="1" applyAlignment="1">
      <alignment horizontal="right"/>
    </xf>
    <xf numFmtId="0" fontId="6" fillId="0" borderId="3" xfId="1" applyFont="1" applyBorder="1" applyAlignment="1">
      <alignment horizontal="right"/>
    </xf>
    <xf numFmtId="0" fontId="7" fillId="3" borderId="3" xfId="1" applyFill="1" applyBorder="1" applyAlignment="1">
      <alignment horizontal="right"/>
    </xf>
    <xf numFmtId="0" fontId="1" fillId="3" borderId="2" xfId="1" applyFont="1" applyFill="1" applyBorder="1" applyAlignment="1">
      <alignment horizontal="left"/>
    </xf>
    <xf numFmtId="0" fontId="1" fillId="3" borderId="2" xfId="1" applyFont="1" applyFill="1" applyBorder="1" applyAlignment="1">
      <alignment horizontal="right"/>
    </xf>
    <xf numFmtId="0" fontId="0" fillId="0" borderId="0" xfId="0" quotePrefix="1"/>
    <xf numFmtId="0" fontId="1" fillId="0" borderId="0" xfId="1" quotePrefix="1" applyFont="1" applyAlignment="1">
      <alignment horizontal="right"/>
    </xf>
    <xf numFmtId="0" fontId="1" fillId="0" borderId="0" xfId="1" applyFont="1" applyAlignment="1">
      <alignment horizontal="right"/>
    </xf>
    <xf numFmtId="0" fontId="13" fillId="0" borderId="0" xfId="0" applyFont="1"/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2" xfId="1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right"/>
    </xf>
    <xf numFmtId="0" fontId="1" fillId="0" borderId="4" xfId="1" quotePrefix="1" applyFont="1" applyBorder="1" applyAlignment="1">
      <alignment horizontal="right"/>
    </xf>
    <xf numFmtId="0" fontId="0" fillId="0" borderId="4" xfId="0" applyBorder="1"/>
    <xf numFmtId="0" fontId="8" fillId="0" borderId="4" xfId="0" applyFont="1" applyBorder="1" applyAlignment="1">
      <alignment horizontal="right"/>
    </xf>
    <xf numFmtId="0" fontId="1" fillId="0" borderId="4" xfId="1" applyFont="1" applyBorder="1" applyAlignment="1">
      <alignment horizontal="center"/>
    </xf>
    <xf numFmtId="9" fontId="1" fillId="0" borderId="4" xfId="5" quotePrefix="1" applyFont="1" applyBorder="1" applyAlignment="1">
      <alignment horizontal="right"/>
    </xf>
    <xf numFmtId="0" fontId="8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0" fillId="0" borderId="4" xfId="0" quotePrefix="1" applyBorder="1"/>
    <xf numFmtId="0" fontId="7" fillId="0" borderId="4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5" fillId="0" borderId="0" xfId="0" applyFont="1"/>
    <xf numFmtId="0" fontId="16" fillId="0" borderId="0" xfId="0" applyFont="1"/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2" fontId="18" fillId="0" borderId="8" xfId="0" applyNumberFormat="1" applyFont="1" applyBorder="1" applyAlignment="1">
      <alignment horizontal="right" vertical="center" wrapText="1"/>
    </xf>
    <xf numFmtId="2" fontId="19" fillId="0" borderId="9" xfId="0" applyNumberFormat="1" applyFont="1" applyBorder="1"/>
    <xf numFmtId="2" fontId="18" fillId="0" borderId="8" xfId="0" applyNumberFormat="1" applyFont="1" applyBorder="1" applyAlignment="1">
      <alignment horizontal="right"/>
    </xf>
  </cellXfs>
  <cellStyles count="6">
    <cellStyle name="Comma 2" xfId="2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1. City of Toronto - Solar Installations by Solar Types and Solar Ownership Types (2006-2014)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EXCEL!$H$4</c:f>
              <c:strCache>
                <c:ptCount val="1"/>
                <c:pt idx="0">
                  <c:v>Solar Photovoltaic (PV)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F9FE15C-594F-8E4C-B9B3-334320497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EF-2D40-AE2B-04EBB7A560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BC4E9B-FB45-AE4A-85A2-1C050905B8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9EF-2D40-AE2B-04EBB7A560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E80A86-5A36-9049-9FCF-A326FC539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9EF-2D40-AE2B-04EBB7A560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FF9535-D7EB-0741-9CCE-D95B00912C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9EF-2D40-AE2B-04EBB7A560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EXCEL!$I$2:$L$2</c:f>
              <c:strCache>
                <c:ptCount val="4"/>
                <c:pt idx="0">
                  <c:v>Generated</c:v>
                </c:pt>
                <c:pt idx="1">
                  <c:v>Purchased</c:v>
                </c:pt>
                <c:pt idx="2">
                  <c:v>Hosted</c:v>
                </c:pt>
                <c:pt idx="3">
                  <c:v>Total</c:v>
                </c:pt>
              </c:strCache>
            </c:strRef>
          </c:cat>
          <c:val>
            <c:numRef>
              <c:f>EXCEL!$I$4:$L$4</c:f>
              <c:numCache>
                <c:formatCode>General</c:formatCode>
                <c:ptCount val="4"/>
                <c:pt idx="0">
                  <c:v>1238.8399999999999</c:v>
                </c:pt>
                <c:pt idx="1">
                  <c:v>0</c:v>
                </c:pt>
                <c:pt idx="2">
                  <c:v>510</c:v>
                </c:pt>
                <c:pt idx="3">
                  <c:v>1748.84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EXCEL!$I$12:$L$12</c15:f>
                <c15:dlblRangeCache>
                  <c:ptCount val="4"/>
                  <c:pt idx="0">
                    <c:v>41%</c:v>
                  </c:pt>
                  <c:pt idx="1">
                    <c:v>0%</c:v>
                  </c:pt>
                  <c:pt idx="2">
                    <c:v>100%</c:v>
                  </c:pt>
                  <c:pt idx="3">
                    <c:v>43%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3E2-FE48-942E-458B5CDA8701}"/>
            </c:ext>
          </c:extLst>
        </c:ser>
        <c:ser>
          <c:idx val="1"/>
          <c:order val="1"/>
          <c:tx>
            <c:strRef>
              <c:f>EXCEL!$H$5</c:f>
              <c:strCache>
                <c:ptCount val="1"/>
                <c:pt idx="0">
                  <c:v>Solar Hot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DDB5C37-60E7-E146-8381-CD878097AA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EF-2D40-AE2B-04EBB7A560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3B9BB2-7D7F-1E42-AAD8-2496E9A1CE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9EF-2D40-AE2B-04EBB7A560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422F46-DECA-C043-887D-121F3D3AA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EF-2D40-AE2B-04EBB7A560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003DB6-D5C8-1841-9FAA-C2E39B045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EF-2D40-AE2B-04EBB7A560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EXCEL!$I$2:$L$2</c:f>
              <c:strCache>
                <c:ptCount val="4"/>
                <c:pt idx="0">
                  <c:v>Generated</c:v>
                </c:pt>
                <c:pt idx="1">
                  <c:v>Purchased</c:v>
                </c:pt>
                <c:pt idx="2">
                  <c:v>Hosted</c:v>
                </c:pt>
                <c:pt idx="3">
                  <c:v>Total</c:v>
                </c:pt>
              </c:strCache>
            </c:strRef>
          </c:cat>
          <c:val>
            <c:numRef>
              <c:f>EXCEL!$I$5:$L$5</c:f>
              <c:numCache>
                <c:formatCode>General</c:formatCode>
                <c:ptCount val="4"/>
                <c:pt idx="0">
                  <c:v>1058.9700000000003</c:v>
                </c:pt>
                <c:pt idx="1">
                  <c:v>569</c:v>
                </c:pt>
                <c:pt idx="2">
                  <c:v>0</c:v>
                </c:pt>
                <c:pt idx="3">
                  <c:v>1627.9700000000003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EXCEL!$I$13:$L$13</c15:f>
                <c15:dlblRangeCache>
                  <c:ptCount val="4"/>
                  <c:pt idx="0">
                    <c:v>35%</c:v>
                  </c:pt>
                  <c:pt idx="1">
                    <c:v>100%</c:v>
                  </c:pt>
                  <c:pt idx="2">
                    <c:v>0%</c:v>
                  </c:pt>
                  <c:pt idx="3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3E2-FE48-942E-458B5CDA8701}"/>
            </c:ext>
          </c:extLst>
        </c:ser>
        <c:ser>
          <c:idx val="2"/>
          <c:order val="2"/>
          <c:tx>
            <c:strRef>
              <c:f>EXCEL!$H$6</c:f>
              <c:strCache>
                <c:ptCount val="1"/>
                <c:pt idx="0">
                  <c:v>Solar Air Heating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1027991-5D2D-424C-9F77-563540052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EF-2D40-AE2B-04EBB7A560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0A91C17-7128-E94C-89E9-4C62BDB3B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EF-2D40-AE2B-04EBB7A560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A955A4-C3AE-F64E-AF70-31E86C057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9EF-2D40-AE2B-04EBB7A560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582FA2-57E6-DC4E-B8C4-7E537FAB6E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9EF-2D40-AE2B-04EBB7A560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EXCEL!$I$2:$L$2</c:f>
              <c:strCache>
                <c:ptCount val="4"/>
                <c:pt idx="0">
                  <c:v>Generated</c:v>
                </c:pt>
                <c:pt idx="1">
                  <c:v>Purchased</c:v>
                </c:pt>
                <c:pt idx="2">
                  <c:v>Hosted</c:v>
                </c:pt>
                <c:pt idx="3">
                  <c:v>Total</c:v>
                </c:pt>
              </c:strCache>
            </c:strRef>
          </c:cat>
          <c:val>
            <c:numRef>
              <c:f>EXCEL!$I$6:$L$6</c:f>
              <c:numCache>
                <c:formatCode>General</c:formatCode>
                <c:ptCount val="4"/>
                <c:pt idx="0">
                  <c:v>704</c:v>
                </c:pt>
                <c:pt idx="1">
                  <c:v>0</c:v>
                </c:pt>
                <c:pt idx="2">
                  <c:v>0</c:v>
                </c:pt>
                <c:pt idx="3">
                  <c:v>704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EXCEL!$I$14:$L$14</c15:f>
                <c15:dlblRangeCache>
                  <c:ptCount val="4"/>
                  <c:pt idx="0">
                    <c:v>23%</c:v>
                  </c:pt>
                  <c:pt idx="1">
                    <c:v>0%</c:v>
                  </c:pt>
                  <c:pt idx="2">
                    <c:v>0%</c:v>
                  </c:pt>
                  <c:pt idx="3">
                    <c:v>17%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E3E2-FE48-942E-458B5CDA8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618784"/>
        <c:axId val="1308576480"/>
      </c:barChart>
      <c:catAx>
        <c:axId val="13086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6480"/>
        <c:crosses val="autoZero"/>
        <c:auto val="1"/>
        <c:lblAlgn val="ctr"/>
        <c:lblOffset val="100"/>
        <c:noMultiLvlLbl val="0"/>
      </c:catAx>
      <c:valAx>
        <c:axId val="13085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Installed</a:t>
                </a:r>
                <a:r>
                  <a:rPr lang="en-US" baseline="0"/>
                  <a:t> Capacity (eKW)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61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2. City of Toronto - Solar PV by Solar Ownership</a:t>
            </a:r>
            <a:r>
              <a:rPr lang="en-US" sz="1400" baseline="0"/>
              <a:t> </a:t>
            </a:r>
            <a:r>
              <a:rPr lang="en-US" sz="1400"/>
              <a:t>Type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EXCEL!$I$32</c:f>
              <c:strCache>
                <c:ptCount val="1"/>
                <c:pt idx="0">
                  <c:v>Generated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EXCEL!$H$34:$H$42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EXCEL!$I$34:$I$42</c:f>
              <c:numCache>
                <c:formatCode>General</c:formatCode>
                <c:ptCount val="9"/>
                <c:pt idx="0">
                  <c:v>0</c:v>
                </c:pt>
                <c:pt idx="1">
                  <c:v>4.4000000000000004</c:v>
                </c:pt>
                <c:pt idx="2">
                  <c:v>4.4000000000000004</c:v>
                </c:pt>
                <c:pt idx="3">
                  <c:v>140.4</c:v>
                </c:pt>
                <c:pt idx="4">
                  <c:v>140.4</c:v>
                </c:pt>
                <c:pt idx="5">
                  <c:v>180.4</c:v>
                </c:pt>
                <c:pt idx="6">
                  <c:v>380.4</c:v>
                </c:pt>
                <c:pt idx="7">
                  <c:v>981.84</c:v>
                </c:pt>
                <c:pt idx="8">
                  <c:v>1238.8400000000001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8-A448-BF74-01794310AE46}"/>
            </c:ext>
          </c:extLst>
        </c:ser>
        <c:ser>
          <c:idx val="1"/>
          <c:order val="1"/>
          <c:tx>
            <c:strRef>
              <c:f>EXCEL!$J$32</c:f>
              <c:strCache>
                <c:ptCount val="1"/>
                <c:pt idx="0">
                  <c:v>Purchased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EXCEL!$H$34:$H$42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EXCEL!$J$34:$J$42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38-A448-BF74-01794310AE46}"/>
            </c:ext>
          </c:extLst>
        </c:ser>
        <c:ser>
          <c:idx val="2"/>
          <c:order val="2"/>
          <c:tx>
            <c:strRef>
              <c:f>EXCEL!$K$32</c:f>
              <c:strCache>
                <c:ptCount val="1"/>
                <c:pt idx="0">
                  <c:v>Hosted</c:v>
                </c:pt>
              </c:strCache>
            </c:strRef>
          </c:tx>
          <c:spPr>
            <a:ln w="381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EXCEL!$H$34:$H$42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EXCEL!$K$34:$K$42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510</c:v>
                </c:pt>
                <c:pt idx="6">
                  <c:v>510</c:v>
                </c:pt>
                <c:pt idx="7">
                  <c:v>510</c:v>
                </c:pt>
                <c:pt idx="8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38-A448-BF74-01794310AE46}"/>
            </c:ext>
          </c:extLst>
        </c:ser>
        <c:ser>
          <c:idx val="3"/>
          <c:order val="3"/>
          <c:tx>
            <c:strRef>
              <c:f>EXCEL!$L$32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EXCEL!$H$34:$H$42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EXCEL!$L$34:$L$42</c:f>
              <c:numCache>
                <c:formatCode>General</c:formatCode>
                <c:ptCount val="9"/>
                <c:pt idx="0">
                  <c:v>100</c:v>
                </c:pt>
                <c:pt idx="1">
                  <c:v>104.4</c:v>
                </c:pt>
                <c:pt idx="2">
                  <c:v>104.4</c:v>
                </c:pt>
                <c:pt idx="3">
                  <c:v>240.4</c:v>
                </c:pt>
                <c:pt idx="4">
                  <c:v>240.4</c:v>
                </c:pt>
                <c:pt idx="5">
                  <c:v>690.4</c:v>
                </c:pt>
                <c:pt idx="6">
                  <c:v>890.4</c:v>
                </c:pt>
                <c:pt idx="7">
                  <c:v>1491.8400000000001</c:v>
                </c:pt>
                <c:pt idx="8">
                  <c:v>1748.8400000000001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38-A448-BF74-01794310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977616"/>
        <c:axId val="1308208944"/>
      </c:lineChart>
      <c:catAx>
        <c:axId val="130597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r>
                  <a:rPr lang="en-US" baseline="0"/>
                  <a:t> of Installation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08944"/>
        <c:crosses val="autoZero"/>
        <c:auto val="1"/>
        <c:lblAlgn val="ctr"/>
        <c:lblOffset val="100"/>
        <c:noMultiLvlLbl val="0"/>
      </c:catAx>
      <c:valAx>
        <c:axId val="13082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Installed</a:t>
                </a:r>
                <a:r>
                  <a:rPr lang="en-US" baseline="0"/>
                  <a:t> Capacity (eKW)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7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3702309861014214"/>
          <c:y val="0.13043554433810686"/>
          <c:w val="0.16759918842939464"/>
          <c:h val="0.2831981119763344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20320</xdr:rowOff>
    </xdr:from>
    <xdr:to>
      <xdr:col>23</xdr:col>
      <xdr:colOff>680720</xdr:colOff>
      <xdr:row>21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7F8C6-172F-8777-4D59-AFD78B0FD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10160</xdr:colOff>
      <xdr:row>23</xdr:row>
      <xdr:rowOff>10160</xdr:rowOff>
    </xdr:from>
    <xdr:to>
      <xdr:col>23</xdr:col>
      <xdr:colOff>690880</xdr:colOff>
      <xdr:row>42</xdr:row>
      <xdr:rowOff>20320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B1E14B-DB47-FA19-D668-E93733A2A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0.13409</cdr:x>
      <cdr:y>0.18987</cdr:y>
    </cdr:from>
    <cdr:to>
      <cdr:x>0.70651</cdr:x>
      <cdr:y>0.36928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2C96A9D-DF39-20F5-CF32-E2D48DCE528A}"/>
            </a:ext>
          </a:extLst>
        </cdr:cNvPr>
        <cdr:cNvSpPr txBox="1"/>
      </cdr:nvSpPr>
      <cdr:spPr>
        <a:xfrm xmlns:a="http://schemas.openxmlformats.org/drawingml/2006/main">
          <a:off x="843282" y="762000"/>
          <a:ext cx="3600000" cy="720000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000" b="1" kern="1200"/>
            <a:t>Solar Ownership Types</a:t>
          </a:r>
        </a:p>
        <a:p xmlns:a="http://schemas.openxmlformats.org/drawingml/2006/main">
          <a:r>
            <a:rPr lang="en-US" sz="1000" kern="1200"/>
            <a:t>• Generated (owned and operated by the City of Toronto)</a:t>
          </a:r>
        </a:p>
        <a:p xmlns:a="http://schemas.openxmlformats.org/drawingml/2006/main">
          <a:r>
            <a:rPr lang="en-US" sz="1000" kern="1200"/>
            <a:t>• Purchased (by the City of Toronto from a third-party provider)</a:t>
          </a:r>
        </a:p>
        <a:p xmlns:a="http://schemas.openxmlformats.org/drawingml/2006/main">
          <a:r>
            <a:rPr lang="en-US" sz="1000" kern="1200"/>
            <a:t>• Hosted (by the City but owned by a third-party) </a:t>
          </a:r>
        </a:p>
        <a:p xmlns:a="http://schemas.openxmlformats.org/drawingml/2006/main">
          <a:endParaRPr lang="en-US" sz="1000" kern="12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zoomScale="125" zoomScaleNormal="125" workbookViewId="0">
      <selection activeCell="C11" sqref="C11"/>
    </sheetView>
  </sheetViews>
  <sheetFormatPr baseColWidth="10" defaultColWidth="9.1640625" defaultRowHeight="15" x14ac:dyDescent="0.2"/>
  <cols>
    <col min="1" max="1" width="36.1640625" style="2" customWidth="1"/>
    <col min="2" max="2" width="36.33203125" style="2" customWidth="1"/>
    <col min="3" max="3" width="25.1640625" style="2" customWidth="1"/>
    <col min="4" max="4" width="22.1640625" style="2" customWidth="1"/>
    <col min="5" max="5" width="18.5" style="2" customWidth="1"/>
    <col min="6" max="6" width="18.5" style="2" bestFit="1" customWidth="1"/>
  </cols>
  <sheetData>
    <row r="1" spans="1:8" ht="19.5" customHeight="1" x14ac:dyDescent="0.2">
      <c r="A1" s="59" t="s">
        <v>111</v>
      </c>
      <c r="B1" s="59"/>
      <c r="C1" s="59"/>
      <c r="D1" s="59"/>
      <c r="E1" s="59"/>
      <c r="F1" s="59"/>
    </row>
    <row r="2" spans="1:8" x14ac:dyDescent="0.2">
      <c r="A2" s="60" t="s">
        <v>121</v>
      </c>
      <c r="B2" s="60"/>
      <c r="C2" s="60"/>
      <c r="D2" s="60"/>
      <c r="E2" s="60"/>
      <c r="F2" s="60"/>
    </row>
    <row r="3" spans="1:8" s="4" customFormat="1" ht="62.25" customHeight="1" x14ac:dyDescent="0.2">
      <c r="A3" s="5" t="s">
        <v>115</v>
      </c>
      <c r="B3" s="5" t="s">
        <v>114</v>
      </c>
      <c r="C3" s="5" t="s">
        <v>116</v>
      </c>
      <c r="D3" s="5" t="s">
        <v>126</v>
      </c>
      <c r="E3" s="5" t="s">
        <v>118</v>
      </c>
      <c r="F3" s="5" t="s">
        <v>117</v>
      </c>
    </row>
    <row r="4" spans="1:8" x14ac:dyDescent="0.2">
      <c r="A4" s="26" t="s">
        <v>110</v>
      </c>
      <c r="B4" s="24" t="s">
        <v>67</v>
      </c>
      <c r="C4" s="7" t="s">
        <v>85</v>
      </c>
      <c r="D4" s="9" t="s">
        <v>60</v>
      </c>
      <c r="E4" s="25">
        <v>50</v>
      </c>
      <c r="F4" s="25">
        <v>2009</v>
      </c>
      <c r="H4" t="s">
        <v>181</v>
      </c>
    </row>
    <row r="5" spans="1:8" x14ac:dyDescent="0.2">
      <c r="A5" s="22" t="s">
        <v>96</v>
      </c>
      <c r="B5" s="8" t="s">
        <v>55</v>
      </c>
      <c r="C5" s="7" t="s">
        <v>85</v>
      </c>
      <c r="D5" s="9" t="s">
        <v>60</v>
      </c>
      <c r="E5" s="13">
        <v>48</v>
      </c>
      <c r="F5" s="13">
        <v>2013</v>
      </c>
      <c r="H5" t="s">
        <v>182</v>
      </c>
    </row>
    <row r="6" spans="1:8" x14ac:dyDescent="0.2">
      <c r="A6" s="23" t="s">
        <v>0</v>
      </c>
      <c r="B6" s="24" t="s">
        <v>55</v>
      </c>
      <c r="C6" s="7" t="s">
        <v>84</v>
      </c>
      <c r="D6" s="9" t="s">
        <v>60</v>
      </c>
      <c r="E6" s="25">
        <v>166</v>
      </c>
      <c r="F6" s="25">
        <v>2006</v>
      </c>
    </row>
    <row r="7" spans="1:8" x14ac:dyDescent="0.2">
      <c r="A7" s="6" t="s">
        <v>47</v>
      </c>
      <c r="B7" s="8" t="s">
        <v>46</v>
      </c>
      <c r="C7" s="7" t="s">
        <v>84</v>
      </c>
      <c r="D7" s="9" t="s">
        <v>60</v>
      </c>
      <c r="E7" s="21">
        <v>67</v>
      </c>
      <c r="F7" s="8">
        <v>2009</v>
      </c>
    </row>
    <row r="8" spans="1:8" x14ac:dyDescent="0.2">
      <c r="A8" s="6" t="s">
        <v>33</v>
      </c>
      <c r="B8" s="8" t="s">
        <v>32</v>
      </c>
      <c r="C8" s="7" t="s">
        <v>83</v>
      </c>
      <c r="D8" s="9" t="s">
        <v>60</v>
      </c>
      <c r="E8" s="21">
        <v>120</v>
      </c>
      <c r="F8" s="7">
        <v>2008</v>
      </c>
    </row>
    <row r="9" spans="1:8" x14ac:dyDescent="0.2">
      <c r="A9" s="22" t="s">
        <v>88</v>
      </c>
      <c r="B9" s="7" t="s">
        <v>120</v>
      </c>
      <c r="C9" s="7" t="s">
        <v>84</v>
      </c>
      <c r="D9" s="9" t="s">
        <v>61</v>
      </c>
      <c r="E9" s="13">
        <v>245</v>
      </c>
      <c r="F9" s="13">
        <v>2010</v>
      </c>
    </row>
    <row r="10" spans="1:8" x14ac:dyDescent="0.2">
      <c r="A10" s="23" t="s">
        <v>1</v>
      </c>
      <c r="B10" s="24" t="s">
        <v>63</v>
      </c>
      <c r="C10" s="7" t="s">
        <v>84</v>
      </c>
      <c r="D10" s="9" t="s">
        <v>60</v>
      </c>
      <c r="E10" s="25">
        <v>174</v>
      </c>
      <c r="F10" s="25">
        <v>2007</v>
      </c>
    </row>
    <row r="11" spans="1:8" x14ac:dyDescent="0.2">
      <c r="A11" s="6" t="s">
        <v>7</v>
      </c>
      <c r="B11" s="8" t="s">
        <v>34</v>
      </c>
      <c r="C11" s="7" t="s">
        <v>83</v>
      </c>
      <c r="D11" s="9" t="s">
        <v>60</v>
      </c>
      <c r="E11" s="21">
        <v>420</v>
      </c>
      <c r="F11" s="8">
        <v>2002</v>
      </c>
    </row>
    <row r="12" spans="1:8" x14ac:dyDescent="0.2">
      <c r="A12" s="10" t="s">
        <v>18</v>
      </c>
      <c r="B12" s="8" t="s">
        <v>17</v>
      </c>
      <c r="C12" s="11" t="s">
        <v>82</v>
      </c>
      <c r="D12" s="9" t="s">
        <v>61</v>
      </c>
      <c r="E12" s="11"/>
      <c r="F12" s="13">
        <v>2008</v>
      </c>
    </row>
    <row r="13" spans="1:8" x14ac:dyDescent="0.2">
      <c r="A13" s="6" t="s">
        <v>31</v>
      </c>
      <c r="B13" s="16" t="s">
        <v>30</v>
      </c>
      <c r="C13" s="8" t="s">
        <v>26</v>
      </c>
      <c r="D13" s="17" t="s">
        <v>60</v>
      </c>
      <c r="E13" s="15">
        <v>13.4</v>
      </c>
      <c r="F13" s="8">
        <v>1986</v>
      </c>
    </row>
    <row r="14" spans="1:8" x14ac:dyDescent="0.2">
      <c r="A14" s="22" t="s">
        <v>76</v>
      </c>
      <c r="B14" s="16" t="s">
        <v>119</v>
      </c>
      <c r="C14" s="7" t="s">
        <v>85</v>
      </c>
      <c r="D14" s="9" t="s">
        <v>60</v>
      </c>
      <c r="E14" s="29">
        <v>3.44</v>
      </c>
      <c r="F14" s="13">
        <v>2013</v>
      </c>
    </row>
    <row r="15" spans="1:8" x14ac:dyDescent="0.2">
      <c r="A15" s="22" t="s">
        <v>76</v>
      </c>
      <c r="B15" s="16" t="s">
        <v>119</v>
      </c>
      <c r="C15" s="7" t="s">
        <v>86</v>
      </c>
      <c r="D15" s="7" t="s">
        <v>60</v>
      </c>
      <c r="E15" s="11">
        <v>3</v>
      </c>
      <c r="F15" s="11">
        <v>2013</v>
      </c>
    </row>
    <row r="16" spans="1:8" x14ac:dyDescent="0.2">
      <c r="A16" s="10" t="s">
        <v>12</v>
      </c>
      <c r="B16" s="27" t="s">
        <v>68</v>
      </c>
      <c r="C16" s="7" t="s">
        <v>85</v>
      </c>
      <c r="D16" s="28" t="s">
        <v>60</v>
      </c>
      <c r="E16" s="13">
        <v>40</v>
      </c>
      <c r="F16" s="13">
        <v>2011</v>
      </c>
    </row>
    <row r="17" spans="1:6" x14ac:dyDescent="0.2">
      <c r="A17" s="22" t="s">
        <v>97</v>
      </c>
      <c r="B17" s="11" t="s">
        <v>71</v>
      </c>
      <c r="C17" s="7" t="s">
        <v>85</v>
      </c>
      <c r="D17" s="7" t="s">
        <v>60</v>
      </c>
      <c r="E17" s="11">
        <v>10</v>
      </c>
      <c r="F17" s="11">
        <v>2014</v>
      </c>
    </row>
    <row r="18" spans="1:6" x14ac:dyDescent="0.2">
      <c r="A18" s="22" t="s">
        <v>70</v>
      </c>
      <c r="B18" s="11" t="s">
        <v>73</v>
      </c>
      <c r="C18" s="7" t="s">
        <v>85</v>
      </c>
      <c r="D18" s="7" t="s">
        <v>60</v>
      </c>
      <c r="E18" s="11">
        <v>4</v>
      </c>
      <c r="F18" s="11">
        <v>2014</v>
      </c>
    </row>
    <row r="19" spans="1:6" x14ac:dyDescent="0.2">
      <c r="A19" s="22" t="s">
        <v>101</v>
      </c>
      <c r="B19" s="11" t="s">
        <v>108</v>
      </c>
      <c r="C19" s="7" t="s">
        <v>86</v>
      </c>
      <c r="D19" s="7" t="s">
        <v>100</v>
      </c>
      <c r="E19" s="11"/>
      <c r="F19" s="11">
        <v>2002</v>
      </c>
    </row>
    <row r="20" spans="1:6" x14ac:dyDescent="0.2">
      <c r="A20" s="18" t="s">
        <v>78</v>
      </c>
      <c r="B20" s="11" t="s">
        <v>108</v>
      </c>
      <c r="C20" s="8" t="s">
        <v>26</v>
      </c>
      <c r="D20" s="9" t="s">
        <v>60</v>
      </c>
      <c r="E20" s="14"/>
      <c r="F20" s="8">
        <v>2008</v>
      </c>
    </row>
    <row r="21" spans="1:6" x14ac:dyDescent="0.2">
      <c r="A21" s="22" t="s">
        <v>104</v>
      </c>
      <c r="B21" s="11" t="s">
        <v>108</v>
      </c>
      <c r="C21" s="7" t="s">
        <v>85</v>
      </c>
      <c r="D21" s="7" t="s">
        <v>100</v>
      </c>
      <c r="E21" s="11">
        <v>250</v>
      </c>
      <c r="F21" s="11">
        <v>2011</v>
      </c>
    </row>
    <row r="22" spans="1:6" x14ac:dyDescent="0.2">
      <c r="A22" s="22" t="s">
        <v>102</v>
      </c>
      <c r="B22" s="11" t="s">
        <v>108</v>
      </c>
      <c r="C22" s="7" t="s">
        <v>85</v>
      </c>
      <c r="D22" s="7" t="s">
        <v>100</v>
      </c>
      <c r="E22" s="11">
        <v>100</v>
      </c>
      <c r="F22" s="11">
        <v>2006</v>
      </c>
    </row>
    <row r="23" spans="1:6" x14ac:dyDescent="0.2">
      <c r="A23" s="22" t="s">
        <v>103</v>
      </c>
      <c r="B23" s="11" t="s">
        <v>108</v>
      </c>
      <c r="C23" s="7" t="s">
        <v>85</v>
      </c>
      <c r="D23" s="7" t="s">
        <v>100</v>
      </c>
      <c r="E23" s="11">
        <v>160</v>
      </c>
      <c r="F23" s="11">
        <v>2011</v>
      </c>
    </row>
    <row r="24" spans="1:6" x14ac:dyDescent="0.2">
      <c r="A24" s="6" t="s">
        <v>40</v>
      </c>
      <c r="B24" s="8" t="s">
        <v>39</v>
      </c>
      <c r="C24" s="7" t="s">
        <v>84</v>
      </c>
      <c r="D24" s="9" t="s">
        <v>60</v>
      </c>
      <c r="E24" s="21">
        <v>11.3</v>
      </c>
      <c r="F24" s="8">
        <v>2007</v>
      </c>
    </row>
    <row r="25" spans="1:6" x14ac:dyDescent="0.2">
      <c r="A25" s="6" t="s">
        <v>38</v>
      </c>
      <c r="B25" s="7" t="s">
        <v>105</v>
      </c>
      <c r="C25" s="7" t="s">
        <v>84</v>
      </c>
      <c r="D25" s="9" t="s">
        <v>60</v>
      </c>
      <c r="E25" s="21">
        <v>11.3</v>
      </c>
      <c r="F25" s="8">
        <v>2007</v>
      </c>
    </row>
    <row r="26" spans="1:6" x14ac:dyDescent="0.2">
      <c r="A26" s="10" t="s">
        <v>10</v>
      </c>
      <c r="B26" s="13" t="s">
        <v>11</v>
      </c>
      <c r="C26" s="7" t="s">
        <v>85</v>
      </c>
      <c r="D26" s="12" t="s">
        <v>60</v>
      </c>
      <c r="E26" s="25">
        <v>3.2</v>
      </c>
      <c r="F26" s="13">
        <v>2007</v>
      </c>
    </row>
    <row r="27" spans="1:6" x14ac:dyDescent="0.2">
      <c r="A27" s="10" t="s">
        <v>8</v>
      </c>
      <c r="B27" s="13" t="s">
        <v>9</v>
      </c>
      <c r="C27" s="7" t="s">
        <v>85</v>
      </c>
      <c r="D27" s="12" t="s">
        <v>60</v>
      </c>
      <c r="E27" s="25">
        <v>1.2</v>
      </c>
      <c r="F27" s="13">
        <v>2007</v>
      </c>
    </row>
    <row r="28" spans="1:6" x14ac:dyDescent="0.2">
      <c r="A28" s="6" t="s">
        <v>42</v>
      </c>
      <c r="B28" s="8" t="s">
        <v>41</v>
      </c>
      <c r="C28" s="7" t="s">
        <v>84</v>
      </c>
      <c r="D28" s="9" t="s">
        <v>60</v>
      </c>
      <c r="E28" s="21">
        <v>11.3</v>
      </c>
      <c r="F28" s="8">
        <v>2008</v>
      </c>
    </row>
    <row r="29" spans="1:6" x14ac:dyDescent="0.2">
      <c r="A29" s="23" t="s">
        <v>2</v>
      </c>
      <c r="B29" s="24" t="s">
        <v>62</v>
      </c>
      <c r="C29" s="7" t="s">
        <v>84</v>
      </c>
      <c r="D29" s="9" t="s">
        <v>60</v>
      </c>
      <c r="E29" s="25">
        <v>87</v>
      </c>
      <c r="F29" s="25">
        <v>2008</v>
      </c>
    </row>
    <row r="30" spans="1:6" x14ac:dyDescent="0.2">
      <c r="A30" s="22" t="s">
        <v>95</v>
      </c>
      <c r="B30" s="8" t="s">
        <v>56</v>
      </c>
      <c r="C30" s="7" t="s">
        <v>85</v>
      </c>
      <c r="D30" s="9" t="s">
        <v>60</v>
      </c>
      <c r="E30" s="13">
        <v>75</v>
      </c>
      <c r="F30" s="13">
        <v>2013</v>
      </c>
    </row>
    <row r="31" spans="1:6" x14ac:dyDescent="0.2">
      <c r="A31" s="22" t="s">
        <v>93</v>
      </c>
      <c r="B31" s="8" t="s">
        <v>54</v>
      </c>
      <c r="C31" s="7" t="s">
        <v>85</v>
      </c>
      <c r="D31" s="9" t="s">
        <v>60</v>
      </c>
      <c r="E31" s="13">
        <v>100</v>
      </c>
      <c r="F31" s="13">
        <v>2013</v>
      </c>
    </row>
    <row r="32" spans="1:6" x14ac:dyDescent="0.2">
      <c r="A32" s="22" t="s">
        <v>75</v>
      </c>
      <c r="B32" s="11" t="s">
        <v>109</v>
      </c>
      <c r="C32" s="7" t="s">
        <v>85</v>
      </c>
      <c r="D32" s="11" t="s">
        <v>60</v>
      </c>
      <c r="E32" s="11">
        <v>3</v>
      </c>
      <c r="F32" s="11">
        <v>2014</v>
      </c>
    </row>
    <row r="33" spans="1:6" x14ac:dyDescent="0.2">
      <c r="A33" s="23" t="s">
        <v>6</v>
      </c>
      <c r="B33" s="30" t="s">
        <v>107</v>
      </c>
      <c r="C33" s="7" t="s">
        <v>85</v>
      </c>
      <c r="D33" s="12" t="s">
        <v>60</v>
      </c>
      <c r="E33" s="25">
        <v>86</v>
      </c>
      <c r="F33" s="25">
        <v>2009</v>
      </c>
    </row>
    <row r="34" spans="1:6" x14ac:dyDescent="0.2">
      <c r="A34" s="18" t="s">
        <v>90</v>
      </c>
      <c r="B34" s="8" t="s">
        <v>45</v>
      </c>
      <c r="C34" s="7" t="s">
        <v>84</v>
      </c>
      <c r="D34" s="9" t="s">
        <v>60</v>
      </c>
      <c r="E34" s="21">
        <v>280</v>
      </c>
      <c r="F34" s="8">
        <v>2006</v>
      </c>
    </row>
    <row r="35" spans="1:6" x14ac:dyDescent="0.2">
      <c r="A35" s="6" t="s">
        <v>13</v>
      </c>
      <c r="B35" s="7" t="s">
        <v>81</v>
      </c>
      <c r="C35" s="8" t="s">
        <v>14</v>
      </c>
      <c r="D35" s="9" t="s">
        <v>60</v>
      </c>
      <c r="E35" s="8">
        <v>31670</v>
      </c>
      <c r="F35" s="8">
        <v>1995</v>
      </c>
    </row>
    <row r="36" spans="1:6" x14ac:dyDescent="0.2">
      <c r="A36" s="36" t="s">
        <v>112</v>
      </c>
      <c r="B36" s="37" t="s">
        <v>113</v>
      </c>
      <c r="C36" s="37" t="s">
        <v>85</v>
      </c>
      <c r="D36" s="37" t="s">
        <v>60</v>
      </c>
      <c r="E36" s="15">
        <v>210</v>
      </c>
      <c r="F36" s="15">
        <v>2014</v>
      </c>
    </row>
    <row r="37" spans="1:6" x14ac:dyDescent="0.2">
      <c r="A37" s="10" t="s">
        <v>50</v>
      </c>
      <c r="B37" s="8" t="s">
        <v>57</v>
      </c>
      <c r="C37" s="7" t="s">
        <v>85</v>
      </c>
      <c r="D37" s="9" t="s">
        <v>60</v>
      </c>
      <c r="E37" s="13">
        <v>75</v>
      </c>
      <c r="F37" s="13">
        <v>2012</v>
      </c>
    </row>
    <row r="38" spans="1:6" x14ac:dyDescent="0.2">
      <c r="A38" s="10" t="s">
        <v>16</v>
      </c>
      <c r="B38" s="8" t="s">
        <v>15</v>
      </c>
      <c r="C38" s="11" t="s">
        <v>82</v>
      </c>
      <c r="D38" s="9" t="s">
        <v>61</v>
      </c>
      <c r="E38" s="11"/>
      <c r="F38" s="13">
        <v>2006</v>
      </c>
    </row>
    <row r="39" spans="1:6" x14ac:dyDescent="0.2">
      <c r="A39" s="10" t="s">
        <v>51</v>
      </c>
      <c r="B39" s="8" t="s">
        <v>58</v>
      </c>
      <c r="C39" s="7" t="s">
        <v>85</v>
      </c>
      <c r="D39" s="9" t="s">
        <v>60</v>
      </c>
      <c r="E39" s="13">
        <v>50</v>
      </c>
      <c r="F39" s="13">
        <v>2012</v>
      </c>
    </row>
    <row r="40" spans="1:6" x14ac:dyDescent="0.2">
      <c r="A40" s="22" t="s">
        <v>69</v>
      </c>
      <c r="B40" s="11" t="s">
        <v>72</v>
      </c>
      <c r="C40" s="7" t="s">
        <v>85</v>
      </c>
      <c r="D40" s="7" t="s">
        <v>60</v>
      </c>
      <c r="E40" s="11">
        <v>10</v>
      </c>
      <c r="F40" s="11">
        <v>2014</v>
      </c>
    </row>
    <row r="41" spans="1:6" x14ac:dyDescent="0.2">
      <c r="A41" s="10" t="s">
        <v>22</v>
      </c>
      <c r="B41" s="8" t="s">
        <v>21</v>
      </c>
      <c r="C41" s="11" t="s">
        <v>82</v>
      </c>
      <c r="D41" s="9" t="s">
        <v>61</v>
      </c>
      <c r="E41" s="11"/>
      <c r="F41" s="13">
        <v>2011</v>
      </c>
    </row>
    <row r="42" spans="1:6" x14ac:dyDescent="0.2">
      <c r="A42" s="23" t="s">
        <v>3</v>
      </c>
      <c r="B42" s="24" t="s">
        <v>64</v>
      </c>
      <c r="C42" s="7" t="s">
        <v>84</v>
      </c>
      <c r="D42" s="9" t="s">
        <v>60</v>
      </c>
      <c r="E42" s="25">
        <v>87</v>
      </c>
      <c r="F42" s="25">
        <v>2008</v>
      </c>
    </row>
    <row r="43" spans="1:6" x14ac:dyDescent="0.2">
      <c r="A43" s="18" t="s">
        <v>80</v>
      </c>
      <c r="B43" s="7" t="s">
        <v>106</v>
      </c>
      <c r="C43" s="8" t="s">
        <v>26</v>
      </c>
      <c r="D43" s="9" t="s">
        <v>60</v>
      </c>
      <c r="E43" s="15"/>
      <c r="F43" s="8">
        <v>2012</v>
      </c>
    </row>
    <row r="44" spans="1:6" x14ac:dyDescent="0.2">
      <c r="A44" s="18" t="s">
        <v>79</v>
      </c>
      <c r="B44" s="8" t="s">
        <v>25</v>
      </c>
      <c r="C44" s="8" t="s">
        <v>26</v>
      </c>
      <c r="D44" s="9" t="s">
        <v>60</v>
      </c>
      <c r="E44" s="15"/>
      <c r="F44" s="8">
        <v>2011</v>
      </c>
    </row>
    <row r="45" spans="1:6" x14ac:dyDescent="0.2">
      <c r="A45" s="18" t="s">
        <v>87</v>
      </c>
      <c r="B45" s="8" t="s">
        <v>35</v>
      </c>
      <c r="C45" s="7" t="s">
        <v>83</v>
      </c>
      <c r="D45" s="9" t="s">
        <v>60</v>
      </c>
      <c r="E45" s="21">
        <v>49</v>
      </c>
      <c r="F45" s="8">
        <v>2006</v>
      </c>
    </row>
    <row r="46" spans="1:6" x14ac:dyDescent="0.2">
      <c r="A46" s="10" t="s">
        <v>20</v>
      </c>
      <c r="B46" s="8" t="s">
        <v>19</v>
      </c>
      <c r="C46" s="11" t="s">
        <v>82</v>
      </c>
      <c r="D46" s="9" t="s">
        <v>61</v>
      </c>
      <c r="E46" s="11"/>
      <c r="F46" s="13">
        <v>2008</v>
      </c>
    </row>
    <row r="47" spans="1:6" x14ac:dyDescent="0.2">
      <c r="A47" s="22" t="s">
        <v>94</v>
      </c>
      <c r="B47" s="8" t="s">
        <v>52</v>
      </c>
      <c r="C47" s="7" t="s">
        <v>85</v>
      </c>
      <c r="D47" s="9" t="s">
        <v>60</v>
      </c>
      <c r="E47" s="13">
        <v>75</v>
      </c>
      <c r="F47" s="13">
        <v>2013</v>
      </c>
    </row>
    <row r="48" spans="1:6" x14ac:dyDescent="0.2">
      <c r="A48" s="23" t="s">
        <v>4</v>
      </c>
      <c r="B48" s="24" t="s">
        <v>65</v>
      </c>
      <c r="C48" s="7" t="s">
        <v>84</v>
      </c>
      <c r="D48" s="9" t="s">
        <v>60</v>
      </c>
      <c r="E48" s="25">
        <v>93</v>
      </c>
      <c r="F48" s="25">
        <v>2008</v>
      </c>
    </row>
    <row r="49" spans="1:6" x14ac:dyDescent="0.2">
      <c r="A49" s="6" t="s">
        <v>37</v>
      </c>
      <c r="B49" s="8" t="s">
        <v>36</v>
      </c>
      <c r="C49" s="7" t="s">
        <v>83</v>
      </c>
      <c r="D49" s="9" t="s">
        <v>60</v>
      </c>
      <c r="E49" s="20">
        <v>115</v>
      </c>
      <c r="F49" s="8">
        <v>2006</v>
      </c>
    </row>
    <row r="50" spans="1:6" x14ac:dyDescent="0.2">
      <c r="A50" s="18" t="s">
        <v>49</v>
      </c>
      <c r="B50" s="8" t="s">
        <v>27</v>
      </c>
      <c r="C50" s="8" t="s">
        <v>26</v>
      </c>
      <c r="D50" s="9" t="s">
        <v>60</v>
      </c>
      <c r="E50" s="15"/>
      <c r="F50" s="8">
        <v>2009</v>
      </c>
    </row>
    <row r="51" spans="1:6" x14ac:dyDescent="0.2">
      <c r="A51" s="10" t="s">
        <v>49</v>
      </c>
      <c r="B51" s="8" t="s">
        <v>27</v>
      </c>
      <c r="C51" s="7" t="s">
        <v>85</v>
      </c>
      <c r="D51" s="9" t="s">
        <v>60</v>
      </c>
      <c r="E51" s="13">
        <v>216</v>
      </c>
      <c r="F51" s="13">
        <v>2013</v>
      </c>
    </row>
    <row r="52" spans="1:6" x14ac:dyDescent="0.2">
      <c r="A52" s="22" t="s">
        <v>91</v>
      </c>
      <c r="B52" s="8" t="s">
        <v>43</v>
      </c>
      <c r="C52" s="7" t="s">
        <v>84</v>
      </c>
      <c r="D52" s="9" t="s">
        <v>61</v>
      </c>
      <c r="E52" s="13">
        <v>100</v>
      </c>
      <c r="F52" s="13">
        <v>2010</v>
      </c>
    </row>
    <row r="53" spans="1:6" x14ac:dyDescent="0.2">
      <c r="A53" s="10" t="s">
        <v>24</v>
      </c>
      <c r="B53" s="8" t="s">
        <v>23</v>
      </c>
      <c r="C53" s="11" t="s">
        <v>82</v>
      </c>
      <c r="D53" s="9" t="s">
        <v>61</v>
      </c>
      <c r="E53" s="11"/>
      <c r="F53" s="13">
        <v>2011</v>
      </c>
    </row>
    <row r="54" spans="1:6" x14ac:dyDescent="0.2">
      <c r="A54" s="10" t="s">
        <v>48</v>
      </c>
      <c r="B54" s="8" t="s">
        <v>53</v>
      </c>
      <c r="C54" s="7" t="s">
        <v>85</v>
      </c>
      <c r="D54" s="9" t="s">
        <v>60</v>
      </c>
      <c r="E54" s="13">
        <v>84</v>
      </c>
      <c r="F54" s="13">
        <v>2013</v>
      </c>
    </row>
    <row r="55" spans="1:6" x14ac:dyDescent="0.2">
      <c r="A55" s="19" t="s">
        <v>99</v>
      </c>
      <c r="B55" s="7" t="s">
        <v>77</v>
      </c>
      <c r="C55" s="8" t="s">
        <v>26</v>
      </c>
      <c r="D55" s="9" t="s">
        <v>60</v>
      </c>
      <c r="E55" s="14"/>
      <c r="F55" s="8">
        <v>2010</v>
      </c>
    </row>
    <row r="56" spans="1:6" x14ac:dyDescent="0.2">
      <c r="A56" s="19" t="s">
        <v>99</v>
      </c>
      <c r="B56" s="7" t="s">
        <v>77</v>
      </c>
      <c r="C56" s="7" t="s">
        <v>84</v>
      </c>
      <c r="D56" s="9" t="s">
        <v>60</v>
      </c>
      <c r="E56" s="8">
        <v>21.07</v>
      </c>
      <c r="F56" s="8">
        <v>2010</v>
      </c>
    </row>
    <row r="57" spans="1:6" x14ac:dyDescent="0.2">
      <c r="A57" s="19" t="s">
        <v>99</v>
      </c>
      <c r="B57" s="7" t="s">
        <v>77</v>
      </c>
      <c r="C57" s="7" t="s">
        <v>85</v>
      </c>
      <c r="D57" s="31" t="s">
        <v>60</v>
      </c>
      <c r="E57" s="31">
        <v>10</v>
      </c>
      <c r="F57" s="31">
        <v>2014</v>
      </c>
    </row>
    <row r="58" spans="1:6" x14ac:dyDescent="0.2">
      <c r="A58" s="22" t="s">
        <v>89</v>
      </c>
      <c r="B58" s="8" t="s">
        <v>44</v>
      </c>
      <c r="C58" s="7" t="s">
        <v>84</v>
      </c>
      <c r="D58" s="9" t="s">
        <v>61</v>
      </c>
      <c r="E58" s="13">
        <v>224</v>
      </c>
      <c r="F58" s="13">
        <v>2010</v>
      </c>
    </row>
    <row r="59" spans="1:6" x14ac:dyDescent="0.2">
      <c r="A59" s="23" t="s">
        <v>5</v>
      </c>
      <c r="B59" s="24" t="s">
        <v>66</v>
      </c>
      <c r="C59" s="7" t="s">
        <v>84</v>
      </c>
      <c r="D59" s="9" t="s">
        <v>60</v>
      </c>
      <c r="E59" s="25">
        <v>50</v>
      </c>
      <c r="F59" s="25">
        <v>2008</v>
      </c>
    </row>
    <row r="60" spans="1:6" x14ac:dyDescent="0.2">
      <c r="A60" s="22" t="s">
        <v>98</v>
      </c>
      <c r="B60" s="11" t="s">
        <v>74</v>
      </c>
      <c r="C60" s="7" t="s">
        <v>85</v>
      </c>
      <c r="D60" s="7" t="s">
        <v>60</v>
      </c>
      <c r="E60" s="11">
        <v>10</v>
      </c>
      <c r="F60" s="11">
        <v>2014</v>
      </c>
    </row>
    <row r="61" spans="1:6" x14ac:dyDescent="0.2">
      <c r="A61" s="22" t="s">
        <v>92</v>
      </c>
      <c r="B61" s="8" t="s">
        <v>59</v>
      </c>
      <c r="C61" s="7" t="s">
        <v>85</v>
      </c>
      <c r="D61" s="9" t="s">
        <v>60</v>
      </c>
      <c r="E61" s="13">
        <v>75</v>
      </c>
      <c r="F61" s="13">
        <v>2012</v>
      </c>
    </row>
    <row r="62" spans="1:6" x14ac:dyDescent="0.2">
      <c r="A62" s="32" t="s">
        <v>29</v>
      </c>
      <c r="B62" s="33" t="s">
        <v>28</v>
      </c>
      <c r="C62" s="33" t="s">
        <v>26</v>
      </c>
      <c r="D62" s="34" t="s">
        <v>60</v>
      </c>
      <c r="E62" s="35"/>
      <c r="F62" s="33">
        <v>2003</v>
      </c>
    </row>
    <row r="63" spans="1:6" x14ac:dyDescent="0.2">
      <c r="B63" s="1"/>
      <c r="D63" s="3"/>
    </row>
  </sheetData>
  <autoFilter ref="A3:F62" xr:uid="{00000000-0009-0000-0000-000000000000}">
    <sortState xmlns:xlrd2="http://schemas.microsoft.com/office/spreadsheetml/2017/richdata2" ref="A4:G62">
      <sortCondition ref="A3:A61"/>
    </sortState>
  </autoFilter>
  <sortState xmlns:xlrd2="http://schemas.microsoft.com/office/spreadsheetml/2017/richdata2" ref="A4:Y59">
    <sortCondition descending="1" ref="E4:E59"/>
  </sortState>
  <mergeCells count="2">
    <mergeCell ref="A1:F1"/>
    <mergeCell ref="A2:F2"/>
  </mergeCells>
  <pageMargins left="0.70866141732283472" right="0.70866141732283472" top="0.74803149606299213" bottom="0.74803149606299213" header="0.31496062992125984" footer="0.31496062992125984"/>
  <pageSetup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824C-C4C5-F447-B916-807BF8680656}">
  <sheetPr>
    <pageSetUpPr fitToPage="1"/>
  </sheetPr>
  <dimension ref="A1:N75"/>
  <sheetViews>
    <sheetView topLeftCell="M20" zoomScale="125" zoomScaleNormal="125" workbookViewId="0">
      <selection activeCell="Z29" sqref="Z29"/>
    </sheetView>
  </sheetViews>
  <sheetFormatPr baseColWidth="10" defaultColWidth="9.1640625" defaultRowHeight="15" x14ac:dyDescent="0.2"/>
  <cols>
    <col min="1" max="1" width="36.1640625" style="2" customWidth="1"/>
    <col min="2" max="2" width="36.33203125" style="2" customWidth="1"/>
    <col min="3" max="3" width="25.1640625" style="2" customWidth="1"/>
    <col min="4" max="4" width="22.1640625" style="2" customWidth="1"/>
    <col min="5" max="5" width="18.5" style="2" customWidth="1"/>
    <col min="6" max="6" width="18.5" style="2" bestFit="1" customWidth="1"/>
    <col min="8" max="8" width="30.6640625" style="2" customWidth="1"/>
    <col min="9" max="11" width="22.1640625" style="2" customWidth="1"/>
    <col min="12" max="12" width="20" customWidth="1"/>
    <col min="14" max="14" width="20.83203125" customWidth="1"/>
  </cols>
  <sheetData>
    <row r="1" spans="1:14" s="4" customFormat="1" ht="15" customHeight="1" x14ac:dyDescent="0.2">
      <c r="A1" s="43" t="s">
        <v>130</v>
      </c>
      <c r="B1" s="2"/>
      <c r="C1" s="2"/>
      <c r="D1" s="2"/>
      <c r="E1" s="2"/>
      <c r="F1" s="2"/>
      <c r="H1" s="43" t="s">
        <v>128</v>
      </c>
      <c r="I1" s="2"/>
      <c r="J1" s="2"/>
      <c r="K1" s="2"/>
      <c r="L1"/>
      <c r="N1" s="5" t="s">
        <v>126</v>
      </c>
    </row>
    <row r="2" spans="1:14" x14ac:dyDescent="0.2">
      <c r="A2" s="5" t="s">
        <v>115</v>
      </c>
      <c r="B2" s="5" t="s">
        <v>114</v>
      </c>
      <c r="C2" s="5" t="s">
        <v>116</v>
      </c>
      <c r="D2" s="5" t="s">
        <v>126</v>
      </c>
      <c r="E2" s="5" t="s">
        <v>118</v>
      </c>
      <c r="F2" s="5" t="s">
        <v>117</v>
      </c>
      <c r="H2" s="45" t="s">
        <v>123</v>
      </c>
      <c r="I2" s="45" t="s">
        <v>60</v>
      </c>
      <c r="J2" s="45" t="s">
        <v>61</v>
      </c>
      <c r="K2" s="45" t="s">
        <v>100</v>
      </c>
      <c r="L2" s="45" t="s">
        <v>124</v>
      </c>
      <c r="N2" s="9" t="s">
        <v>60</v>
      </c>
    </row>
    <row r="3" spans="1:14" x14ac:dyDescent="0.2">
      <c r="A3" s="26" t="s">
        <v>110</v>
      </c>
      <c r="B3" s="24" t="s">
        <v>67</v>
      </c>
      <c r="C3" s="7" t="s">
        <v>85</v>
      </c>
      <c r="D3" s="9" t="s">
        <v>60</v>
      </c>
      <c r="E3" s="25">
        <v>50</v>
      </c>
      <c r="F3" s="25">
        <v>2009</v>
      </c>
      <c r="H3" s="46"/>
      <c r="I3" s="46" t="s">
        <v>125</v>
      </c>
      <c r="J3" s="46" t="s">
        <v>125</v>
      </c>
      <c r="K3" s="46" t="s">
        <v>125</v>
      </c>
      <c r="L3" s="46" t="s">
        <v>125</v>
      </c>
      <c r="N3" s="9" t="s">
        <v>61</v>
      </c>
    </row>
    <row r="4" spans="1:14" x14ac:dyDescent="0.2">
      <c r="A4" s="22" t="s">
        <v>96</v>
      </c>
      <c r="B4" s="8" t="s">
        <v>55</v>
      </c>
      <c r="C4" s="7" t="s">
        <v>85</v>
      </c>
      <c r="D4" s="9" t="s">
        <v>60</v>
      </c>
      <c r="E4" s="13">
        <v>48</v>
      </c>
      <c r="F4" s="13">
        <v>2013</v>
      </c>
      <c r="H4" s="47" t="s">
        <v>85</v>
      </c>
      <c r="I4" s="48">
        <f t="shared" ref="I4:K6" si="0">SUMIFS($E$3:$E$61,$C$3:$C$61,$H4,$D$3:$D$61,I$2)</f>
        <v>1238.8399999999999</v>
      </c>
      <c r="J4" s="48">
        <f t="shared" si="0"/>
        <v>0</v>
      </c>
      <c r="K4" s="48">
        <f t="shared" si="0"/>
        <v>510</v>
      </c>
      <c r="L4" s="49">
        <f>SUM(I4:K4)</f>
        <v>1748.84</v>
      </c>
      <c r="N4" s="7" t="s">
        <v>100</v>
      </c>
    </row>
    <row r="5" spans="1:14" x14ac:dyDescent="0.2">
      <c r="A5" s="23" t="s">
        <v>0</v>
      </c>
      <c r="B5" s="24" t="s">
        <v>55</v>
      </c>
      <c r="C5" s="7" t="s">
        <v>84</v>
      </c>
      <c r="D5" s="9" t="s">
        <v>60</v>
      </c>
      <c r="E5" s="25">
        <v>166</v>
      </c>
      <c r="F5" s="25">
        <v>2006</v>
      </c>
      <c r="H5" s="47" t="s">
        <v>84</v>
      </c>
      <c r="I5" s="48">
        <f t="shared" si="0"/>
        <v>1058.9700000000003</v>
      </c>
      <c r="J5" s="48">
        <f t="shared" si="0"/>
        <v>569</v>
      </c>
      <c r="K5" s="48">
        <f t="shared" si="0"/>
        <v>0</v>
      </c>
      <c r="L5" s="49">
        <f t="shared" ref="L5:L6" si="1">SUM(I5:K5)</f>
        <v>1627.9700000000003</v>
      </c>
    </row>
    <row r="6" spans="1:14" x14ac:dyDescent="0.2">
      <c r="A6" s="6" t="s">
        <v>47</v>
      </c>
      <c r="B6" s="8" t="s">
        <v>46</v>
      </c>
      <c r="C6" s="7" t="s">
        <v>84</v>
      </c>
      <c r="D6" s="9" t="s">
        <v>60</v>
      </c>
      <c r="E6" s="21">
        <v>67</v>
      </c>
      <c r="F6" s="8">
        <v>2009</v>
      </c>
      <c r="H6" s="47" t="s">
        <v>83</v>
      </c>
      <c r="I6" s="48">
        <f t="shared" si="0"/>
        <v>704</v>
      </c>
      <c r="J6" s="48">
        <f t="shared" si="0"/>
        <v>0</v>
      </c>
      <c r="K6" s="48">
        <f t="shared" si="0"/>
        <v>0</v>
      </c>
      <c r="L6" s="49">
        <f t="shared" si="1"/>
        <v>704</v>
      </c>
    </row>
    <row r="7" spans="1:14" x14ac:dyDescent="0.2">
      <c r="A7" s="6" t="s">
        <v>33</v>
      </c>
      <c r="B7" s="8" t="s">
        <v>32</v>
      </c>
      <c r="C7" s="7" t="s">
        <v>83</v>
      </c>
      <c r="D7" s="9" t="s">
        <v>60</v>
      </c>
      <c r="E7" s="21">
        <v>120</v>
      </c>
      <c r="F7" s="7">
        <v>2008</v>
      </c>
      <c r="H7" s="50" t="s">
        <v>124</v>
      </c>
      <c r="I7" s="48">
        <f>SUM(I4:I6)</f>
        <v>3001.8100000000004</v>
      </c>
      <c r="J7" s="48">
        <f>SUM(J4:J6)</f>
        <v>569</v>
      </c>
      <c r="K7" s="48">
        <f>SUM(K4:K6)</f>
        <v>510</v>
      </c>
      <c r="L7" s="48">
        <f>SUM(L4:L6)</f>
        <v>4080.8100000000004</v>
      </c>
    </row>
    <row r="8" spans="1:14" x14ac:dyDescent="0.2">
      <c r="A8" s="22" t="s">
        <v>88</v>
      </c>
      <c r="B8" s="7" t="s">
        <v>120</v>
      </c>
      <c r="C8" s="7" t="s">
        <v>84</v>
      </c>
      <c r="D8" s="9" t="s">
        <v>61</v>
      </c>
      <c r="E8" s="13">
        <v>245</v>
      </c>
      <c r="F8" s="13">
        <v>2010</v>
      </c>
      <c r="I8" s="39"/>
      <c r="J8" s="39"/>
      <c r="K8" s="39"/>
      <c r="L8" s="39"/>
    </row>
    <row r="9" spans="1:14" x14ac:dyDescent="0.2">
      <c r="A9" s="23" t="s">
        <v>1</v>
      </c>
      <c r="B9" s="24" t="s">
        <v>63</v>
      </c>
      <c r="C9" s="7" t="s">
        <v>84</v>
      </c>
      <c r="D9" s="9" t="s">
        <v>60</v>
      </c>
      <c r="E9" s="25">
        <v>174</v>
      </c>
      <c r="F9" s="25">
        <v>2007</v>
      </c>
      <c r="H9" s="43" t="s">
        <v>129</v>
      </c>
      <c r="I9" s="39"/>
      <c r="J9" s="39"/>
      <c r="K9" s="39"/>
      <c r="L9" s="39"/>
    </row>
    <row r="10" spans="1:14" x14ac:dyDescent="0.2">
      <c r="A10" s="6" t="s">
        <v>7</v>
      </c>
      <c r="B10" s="8" t="s">
        <v>34</v>
      </c>
      <c r="C10" s="7" t="s">
        <v>83</v>
      </c>
      <c r="D10" s="9" t="s">
        <v>60</v>
      </c>
      <c r="E10" s="21">
        <v>420</v>
      </c>
      <c r="F10" s="8">
        <v>2002</v>
      </c>
      <c r="H10" s="45" t="s">
        <v>123</v>
      </c>
      <c r="I10" s="45" t="s">
        <v>60</v>
      </c>
      <c r="J10" s="45" t="s">
        <v>61</v>
      </c>
      <c r="K10" s="45" t="s">
        <v>100</v>
      </c>
      <c r="L10" s="45" t="s">
        <v>124</v>
      </c>
    </row>
    <row r="11" spans="1:14" x14ac:dyDescent="0.2">
      <c r="A11" s="10" t="s">
        <v>18</v>
      </c>
      <c r="B11" s="8" t="s">
        <v>17</v>
      </c>
      <c r="C11" s="11" t="s">
        <v>82</v>
      </c>
      <c r="D11" s="9" t="s">
        <v>61</v>
      </c>
      <c r="E11" s="11"/>
      <c r="F11" s="13">
        <v>2008</v>
      </c>
      <c r="H11" s="51"/>
      <c r="I11" s="46" t="s">
        <v>127</v>
      </c>
      <c r="J11" s="46" t="s">
        <v>127</v>
      </c>
      <c r="K11" s="46" t="s">
        <v>127</v>
      </c>
      <c r="L11" s="46" t="s">
        <v>127</v>
      </c>
    </row>
    <row r="12" spans="1:14" x14ac:dyDescent="0.2">
      <c r="A12" s="6" t="s">
        <v>31</v>
      </c>
      <c r="B12" s="16" t="s">
        <v>30</v>
      </c>
      <c r="C12" s="8" t="s">
        <v>26</v>
      </c>
      <c r="D12" s="17" t="s">
        <v>60</v>
      </c>
      <c r="E12" s="15">
        <v>13.4</v>
      </c>
      <c r="F12" s="8">
        <v>1986</v>
      </c>
      <c r="H12" s="47" t="s">
        <v>85</v>
      </c>
      <c r="I12" s="52">
        <f t="shared" ref="I12:L14" si="2">I4/I$7</f>
        <v>0.41269767240431598</v>
      </c>
      <c r="J12" s="52">
        <f t="shared" si="2"/>
        <v>0</v>
      </c>
      <c r="K12" s="52">
        <f t="shared" si="2"/>
        <v>1</v>
      </c>
      <c r="L12" s="52">
        <f t="shared" si="2"/>
        <v>0.42855217469080886</v>
      </c>
    </row>
    <row r="13" spans="1:14" x14ac:dyDescent="0.2">
      <c r="A13" s="22" t="s">
        <v>76</v>
      </c>
      <c r="B13" s="16" t="s">
        <v>119</v>
      </c>
      <c r="C13" s="7" t="s">
        <v>85</v>
      </c>
      <c r="D13" s="9" t="s">
        <v>60</v>
      </c>
      <c r="E13" s="29">
        <v>3.44</v>
      </c>
      <c r="F13" s="13">
        <v>2013</v>
      </c>
      <c r="H13" s="47" t="s">
        <v>84</v>
      </c>
      <c r="I13" s="52">
        <f t="shared" si="2"/>
        <v>0.3527771577814719</v>
      </c>
      <c r="J13" s="52">
        <f t="shared" si="2"/>
        <v>1</v>
      </c>
      <c r="K13" s="52">
        <f t="shared" si="2"/>
        <v>0</v>
      </c>
      <c r="L13" s="52">
        <f t="shared" si="2"/>
        <v>0.39893305495722664</v>
      </c>
    </row>
    <row r="14" spans="1:14" x14ac:dyDescent="0.2">
      <c r="A14" s="22" t="s">
        <v>76</v>
      </c>
      <c r="B14" s="16" t="s">
        <v>119</v>
      </c>
      <c r="C14" s="7" t="s">
        <v>86</v>
      </c>
      <c r="D14" s="7" t="s">
        <v>60</v>
      </c>
      <c r="E14" s="11">
        <v>3</v>
      </c>
      <c r="F14" s="11">
        <v>2013</v>
      </c>
      <c r="H14" s="47" t="s">
        <v>83</v>
      </c>
      <c r="I14" s="52">
        <f t="shared" si="2"/>
        <v>0.23452516981421206</v>
      </c>
      <c r="J14" s="52">
        <f t="shared" si="2"/>
        <v>0</v>
      </c>
      <c r="K14" s="52">
        <f t="shared" si="2"/>
        <v>0</v>
      </c>
      <c r="L14" s="52">
        <f t="shared" si="2"/>
        <v>0.17251477035196441</v>
      </c>
    </row>
    <row r="15" spans="1:14" x14ac:dyDescent="0.2">
      <c r="A15" s="10" t="s">
        <v>12</v>
      </c>
      <c r="B15" s="27" t="s">
        <v>68</v>
      </c>
      <c r="C15" s="7" t="s">
        <v>85</v>
      </c>
      <c r="D15" s="28" t="s">
        <v>60</v>
      </c>
      <c r="E15" s="13">
        <v>40</v>
      </c>
      <c r="F15" s="13">
        <v>2011</v>
      </c>
      <c r="H15" s="50" t="s">
        <v>124</v>
      </c>
      <c r="I15" s="52">
        <f>SUM(I12:I14)</f>
        <v>1</v>
      </c>
      <c r="J15" s="52">
        <f>SUM(J12:J14)</f>
        <v>1</v>
      </c>
      <c r="K15" s="52">
        <f>SUM(K12:K14)</f>
        <v>1</v>
      </c>
      <c r="L15" s="52">
        <f>SUM(L12:L14)</f>
        <v>0.99999999999999989</v>
      </c>
    </row>
    <row r="16" spans="1:14" x14ac:dyDescent="0.2">
      <c r="A16" s="22" t="s">
        <v>97</v>
      </c>
      <c r="B16" s="11" t="s">
        <v>71</v>
      </c>
      <c r="C16" s="7" t="s">
        <v>85</v>
      </c>
      <c r="D16" s="7" t="s">
        <v>60</v>
      </c>
      <c r="E16" s="11">
        <v>10</v>
      </c>
      <c r="F16" s="11">
        <v>2014</v>
      </c>
      <c r="H16" s="40"/>
      <c r="I16" s="39"/>
      <c r="J16" s="39"/>
      <c r="K16" s="39"/>
    </row>
    <row r="17" spans="1:12" x14ac:dyDescent="0.2">
      <c r="A17" s="22" t="s">
        <v>70</v>
      </c>
      <c r="B17" s="11" t="s">
        <v>73</v>
      </c>
      <c r="C17" s="7" t="s">
        <v>85</v>
      </c>
      <c r="D17" s="7" t="s">
        <v>60</v>
      </c>
      <c r="E17" s="11">
        <v>4</v>
      </c>
      <c r="F17" s="11">
        <v>2014</v>
      </c>
      <c r="H17" s="43" t="s">
        <v>131</v>
      </c>
      <c r="J17"/>
      <c r="K17"/>
      <c r="L17" s="44" t="s">
        <v>85</v>
      </c>
    </row>
    <row r="18" spans="1:12" x14ac:dyDescent="0.2">
      <c r="A18" s="22" t="s">
        <v>101</v>
      </c>
      <c r="B18" s="11" t="s">
        <v>108</v>
      </c>
      <c r="C18" s="7" t="s">
        <v>86</v>
      </c>
      <c r="D18" s="7" t="s">
        <v>100</v>
      </c>
      <c r="E18" s="11"/>
      <c r="F18" s="11">
        <v>2002</v>
      </c>
      <c r="H18" s="53" t="s">
        <v>122</v>
      </c>
      <c r="I18" s="53" t="s">
        <v>60</v>
      </c>
      <c r="J18" s="53" t="s">
        <v>61</v>
      </c>
      <c r="K18" s="53" t="s">
        <v>100</v>
      </c>
      <c r="L18" s="53" t="s">
        <v>124</v>
      </c>
    </row>
    <row r="19" spans="1:12" x14ac:dyDescent="0.2">
      <c r="A19" s="18" t="s">
        <v>78</v>
      </c>
      <c r="B19" s="11" t="s">
        <v>108</v>
      </c>
      <c r="C19" s="8" t="s">
        <v>26</v>
      </c>
      <c r="D19" s="9" t="s">
        <v>60</v>
      </c>
      <c r="E19" s="14"/>
      <c r="F19" s="8">
        <v>2008</v>
      </c>
      <c r="H19" s="46"/>
      <c r="I19" s="46" t="s">
        <v>125</v>
      </c>
      <c r="J19" s="46" t="s">
        <v>125</v>
      </c>
      <c r="K19" s="46" t="s">
        <v>125</v>
      </c>
      <c r="L19" s="46" t="s">
        <v>125</v>
      </c>
    </row>
    <row r="20" spans="1:12" x14ac:dyDescent="0.2">
      <c r="A20" s="22" t="s">
        <v>104</v>
      </c>
      <c r="B20" s="11" t="s">
        <v>108</v>
      </c>
      <c r="C20" s="7" t="s">
        <v>85</v>
      </c>
      <c r="D20" s="7" t="s">
        <v>100</v>
      </c>
      <c r="E20" s="11">
        <v>250</v>
      </c>
      <c r="F20" s="11">
        <v>2011</v>
      </c>
      <c r="H20" s="54">
        <v>2006</v>
      </c>
      <c r="I20" s="55">
        <f t="shared" ref="I20:K28" si="3">SUMIFS($E$3:$E$61,$C$3:$C$61,$L$17,$D$3:$D$61,I$18,$F$3:$F$61,$H20)</f>
        <v>0</v>
      </c>
      <c r="J20" s="55">
        <f t="shared" si="3"/>
        <v>0</v>
      </c>
      <c r="K20" s="55">
        <f t="shared" si="3"/>
        <v>100</v>
      </c>
      <c r="L20" s="49">
        <f t="shared" ref="L20:L28" si="4">SUM(I20:K20)</f>
        <v>100</v>
      </c>
    </row>
    <row r="21" spans="1:12" x14ac:dyDescent="0.2">
      <c r="A21" s="22" t="s">
        <v>102</v>
      </c>
      <c r="B21" s="11" t="s">
        <v>108</v>
      </c>
      <c r="C21" s="7" t="s">
        <v>85</v>
      </c>
      <c r="D21" s="7" t="s">
        <v>100</v>
      </c>
      <c r="E21" s="11">
        <v>100</v>
      </c>
      <c r="F21" s="11">
        <v>2006</v>
      </c>
      <c r="H21" s="54">
        <v>2007</v>
      </c>
      <c r="I21" s="55">
        <f t="shared" si="3"/>
        <v>4.4000000000000004</v>
      </c>
      <c r="J21" s="55">
        <f t="shared" si="3"/>
        <v>0</v>
      </c>
      <c r="K21" s="55">
        <f t="shared" si="3"/>
        <v>0</v>
      </c>
      <c r="L21" s="49">
        <f t="shared" si="4"/>
        <v>4.4000000000000004</v>
      </c>
    </row>
    <row r="22" spans="1:12" x14ac:dyDescent="0.2">
      <c r="A22" s="22" t="s">
        <v>103</v>
      </c>
      <c r="B22" s="11" t="s">
        <v>108</v>
      </c>
      <c r="C22" s="7" t="s">
        <v>85</v>
      </c>
      <c r="D22" s="7" t="s">
        <v>100</v>
      </c>
      <c r="E22" s="11">
        <v>160</v>
      </c>
      <c r="F22" s="11">
        <v>2011</v>
      </c>
      <c r="H22" s="47">
        <v>2008</v>
      </c>
      <c r="I22" s="55">
        <f t="shared" si="3"/>
        <v>0</v>
      </c>
      <c r="J22" s="55">
        <f t="shared" si="3"/>
        <v>0</v>
      </c>
      <c r="K22" s="55">
        <f t="shared" si="3"/>
        <v>0</v>
      </c>
      <c r="L22" s="49">
        <f t="shared" si="4"/>
        <v>0</v>
      </c>
    </row>
    <row r="23" spans="1:12" x14ac:dyDescent="0.2">
      <c r="A23" s="6" t="s">
        <v>40</v>
      </c>
      <c r="B23" s="8" t="s">
        <v>39</v>
      </c>
      <c r="C23" s="7" t="s">
        <v>84</v>
      </c>
      <c r="D23" s="9" t="s">
        <v>60</v>
      </c>
      <c r="E23" s="21">
        <v>11.3</v>
      </c>
      <c r="F23" s="8">
        <v>2007</v>
      </c>
      <c r="H23" s="54">
        <v>2009</v>
      </c>
      <c r="I23" s="55">
        <f t="shared" si="3"/>
        <v>136</v>
      </c>
      <c r="J23" s="55">
        <f t="shared" si="3"/>
        <v>0</v>
      </c>
      <c r="K23" s="55">
        <f t="shared" si="3"/>
        <v>0</v>
      </c>
      <c r="L23" s="49">
        <f t="shared" si="4"/>
        <v>136</v>
      </c>
    </row>
    <row r="24" spans="1:12" x14ac:dyDescent="0.2">
      <c r="A24" s="6" t="s">
        <v>38</v>
      </c>
      <c r="B24" s="7" t="s">
        <v>105</v>
      </c>
      <c r="C24" s="7" t="s">
        <v>84</v>
      </c>
      <c r="D24" s="9" t="s">
        <v>60</v>
      </c>
      <c r="E24" s="21">
        <v>11.3</v>
      </c>
      <c r="F24" s="8">
        <v>2007</v>
      </c>
      <c r="H24" s="56">
        <v>2010</v>
      </c>
      <c r="I24" s="55">
        <f t="shared" si="3"/>
        <v>0</v>
      </c>
      <c r="J24" s="55">
        <f t="shared" si="3"/>
        <v>0</v>
      </c>
      <c r="K24" s="55">
        <f t="shared" si="3"/>
        <v>0</v>
      </c>
      <c r="L24" s="49">
        <f t="shared" si="4"/>
        <v>0</v>
      </c>
    </row>
    <row r="25" spans="1:12" x14ac:dyDescent="0.2">
      <c r="A25" s="10" t="s">
        <v>10</v>
      </c>
      <c r="B25" s="13" t="s">
        <v>11</v>
      </c>
      <c r="C25" s="7" t="s">
        <v>85</v>
      </c>
      <c r="D25" s="12" t="s">
        <v>60</v>
      </c>
      <c r="E25" s="25">
        <v>3.2</v>
      </c>
      <c r="F25" s="13">
        <v>2007</v>
      </c>
      <c r="H25" s="56">
        <v>2011</v>
      </c>
      <c r="I25" s="55">
        <f t="shared" si="3"/>
        <v>40</v>
      </c>
      <c r="J25" s="55">
        <f t="shared" si="3"/>
        <v>0</v>
      </c>
      <c r="K25" s="55">
        <f t="shared" si="3"/>
        <v>410</v>
      </c>
      <c r="L25" s="49">
        <f t="shared" si="4"/>
        <v>450</v>
      </c>
    </row>
    <row r="26" spans="1:12" x14ac:dyDescent="0.2">
      <c r="A26" s="10" t="s">
        <v>8</v>
      </c>
      <c r="B26" s="13" t="s">
        <v>9</v>
      </c>
      <c r="C26" s="7" t="s">
        <v>85</v>
      </c>
      <c r="D26" s="12" t="s">
        <v>60</v>
      </c>
      <c r="E26" s="25">
        <v>1.2</v>
      </c>
      <c r="F26" s="13">
        <v>2007</v>
      </c>
      <c r="H26" s="56">
        <v>2012</v>
      </c>
      <c r="I26" s="55">
        <f t="shared" si="3"/>
        <v>200</v>
      </c>
      <c r="J26" s="55">
        <f t="shared" si="3"/>
        <v>0</v>
      </c>
      <c r="K26" s="55">
        <f t="shared" si="3"/>
        <v>0</v>
      </c>
      <c r="L26" s="49">
        <f t="shared" si="4"/>
        <v>200</v>
      </c>
    </row>
    <row r="27" spans="1:12" x14ac:dyDescent="0.2">
      <c r="A27" s="6" t="s">
        <v>42</v>
      </c>
      <c r="B27" s="8" t="s">
        <v>41</v>
      </c>
      <c r="C27" s="7" t="s">
        <v>84</v>
      </c>
      <c r="D27" s="9" t="s">
        <v>60</v>
      </c>
      <c r="E27" s="21">
        <v>11.3</v>
      </c>
      <c r="F27" s="8">
        <v>2008</v>
      </c>
      <c r="H27" s="56">
        <v>2013</v>
      </c>
      <c r="I27" s="55">
        <f t="shared" si="3"/>
        <v>601.44000000000005</v>
      </c>
      <c r="J27" s="55">
        <f t="shared" si="3"/>
        <v>0</v>
      </c>
      <c r="K27" s="55">
        <f t="shared" si="3"/>
        <v>0</v>
      </c>
      <c r="L27" s="49">
        <f t="shared" si="4"/>
        <v>601.44000000000005</v>
      </c>
    </row>
    <row r="28" spans="1:12" x14ac:dyDescent="0.2">
      <c r="A28" s="23" t="s">
        <v>2</v>
      </c>
      <c r="B28" s="24" t="s">
        <v>62</v>
      </c>
      <c r="C28" s="7" t="s">
        <v>84</v>
      </c>
      <c r="D28" s="9" t="s">
        <v>60</v>
      </c>
      <c r="E28" s="25">
        <v>87</v>
      </c>
      <c r="F28" s="25">
        <v>2008</v>
      </c>
      <c r="H28" s="57">
        <v>2014</v>
      </c>
      <c r="I28" s="55">
        <f t="shared" si="3"/>
        <v>257</v>
      </c>
      <c r="J28" s="55">
        <f t="shared" si="3"/>
        <v>0</v>
      </c>
      <c r="K28" s="55">
        <f t="shared" si="3"/>
        <v>0</v>
      </c>
      <c r="L28" s="49">
        <f t="shared" si="4"/>
        <v>257</v>
      </c>
    </row>
    <row r="29" spans="1:12" x14ac:dyDescent="0.2">
      <c r="A29" s="22" t="s">
        <v>95</v>
      </c>
      <c r="B29" s="8" t="s">
        <v>56</v>
      </c>
      <c r="C29" s="7" t="s">
        <v>85</v>
      </c>
      <c r="D29" s="9" t="s">
        <v>60</v>
      </c>
      <c r="E29" s="13">
        <v>75</v>
      </c>
      <c r="F29" s="13">
        <v>2013</v>
      </c>
      <c r="H29" s="50" t="s">
        <v>124</v>
      </c>
      <c r="I29" s="48">
        <f>SUM(I20:I28)</f>
        <v>1238.8400000000001</v>
      </c>
      <c r="J29" s="48">
        <f t="shared" ref="J29:K29" si="5">SUM(J20:J28)</f>
        <v>0</v>
      </c>
      <c r="K29" s="48">
        <f t="shared" si="5"/>
        <v>510</v>
      </c>
      <c r="L29" s="48">
        <f>SUM(L20:L28)</f>
        <v>1748.8400000000001</v>
      </c>
    </row>
    <row r="30" spans="1:12" x14ac:dyDescent="0.2">
      <c r="A30" s="22" t="s">
        <v>93</v>
      </c>
      <c r="B30" s="8" t="s">
        <v>54</v>
      </c>
      <c r="C30" s="7" t="s">
        <v>85</v>
      </c>
      <c r="D30" s="9" t="s">
        <v>60</v>
      </c>
      <c r="E30" s="13">
        <v>100</v>
      </c>
      <c r="F30" s="13">
        <v>2013</v>
      </c>
      <c r="H30" s="58"/>
      <c r="I30" s="38"/>
      <c r="J30" s="38"/>
      <c r="K30" s="38"/>
    </row>
    <row r="31" spans="1:12" x14ac:dyDescent="0.2">
      <c r="A31" s="22" t="s">
        <v>75</v>
      </c>
      <c r="B31" s="11" t="s">
        <v>109</v>
      </c>
      <c r="C31" s="7" t="s">
        <v>85</v>
      </c>
      <c r="D31" s="11" t="s">
        <v>60</v>
      </c>
      <c r="E31" s="11">
        <v>3</v>
      </c>
      <c r="F31" s="11">
        <v>2014</v>
      </c>
      <c r="H31" s="41" t="s">
        <v>132</v>
      </c>
      <c r="I31"/>
      <c r="J31"/>
      <c r="K31"/>
    </row>
    <row r="32" spans="1:12" x14ac:dyDescent="0.2">
      <c r="A32" s="23" t="s">
        <v>6</v>
      </c>
      <c r="B32" s="30" t="s">
        <v>107</v>
      </c>
      <c r="C32" s="7" t="s">
        <v>85</v>
      </c>
      <c r="D32" s="12" t="s">
        <v>60</v>
      </c>
      <c r="E32" s="25">
        <v>86</v>
      </c>
      <c r="F32" s="25">
        <v>2009</v>
      </c>
      <c r="H32" s="53" t="s">
        <v>122</v>
      </c>
      <c r="I32" s="53" t="s">
        <v>60</v>
      </c>
      <c r="J32" s="53" t="s">
        <v>61</v>
      </c>
      <c r="K32" s="53" t="s">
        <v>100</v>
      </c>
      <c r="L32" s="53" t="s">
        <v>124</v>
      </c>
    </row>
    <row r="33" spans="1:12" x14ac:dyDescent="0.2">
      <c r="A33" s="18" t="s">
        <v>90</v>
      </c>
      <c r="B33" s="8" t="s">
        <v>45</v>
      </c>
      <c r="C33" s="7" t="s">
        <v>84</v>
      </c>
      <c r="D33" s="9" t="s">
        <v>60</v>
      </c>
      <c r="E33" s="21">
        <v>280</v>
      </c>
      <c r="F33" s="8">
        <v>2006</v>
      </c>
      <c r="H33" s="46"/>
      <c r="I33" s="46" t="s">
        <v>125</v>
      </c>
      <c r="J33" s="46" t="s">
        <v>125</v>
      </c>
      <c r="K33" s="46" t="s">
        <v>125</v>
      </c>
      <c r="L33" s="46" t="s">
        <v>125</v>
      </c>
    </row>
    <row r="34" spans="1:12" x14ac:dyDescent="0.2">
      <c r="A34" s="6" t="s">
        <v>13</v>
      </c>
      <c r="B34" s="7" t="s">
        <v>81</v>
      </c>
      <c r="C34" s="8" t="s">
        <v>14</v>
      </c>
      <c r="D34" s="9" t="s">
        <v>60</v>
      </c>
      <c r="E34" s="8">
        <v>31670</v>
      </c>
      <c r="F34" s="8">
        <v>1995</v>
      </c>
      <c r="H34" s="54">
        <v>2006</v>
      </c>
      <c r="I34" s="55">
        <f>I20</f>
        <v>0</v>
      </c>
      <c r="J34" s="55">
        <f>J20</f>
        <v>0</v>
      </c>
      <c r="K34" s="55">
        <f>K20</f>
        <v>100</v>
      </c>
      <c r="L34" s="55">
        <f>L20</f>
        <v>100</v>
      </c>
    </row>
    <row r="35" spans="1:12" x14ac:dyDescent="0.2">
      <c r="A35" s="36" t="s">
        <v>112</v>
      </c>
      <c r="B35" s="37" t="s">
        <v>113</v>
      </c>
      <c r="C35" s="37" t="s">
        <v>85</v>
      </c>
      <c r="D35" s="37" t="s">
        <v>60</v>
      </c>
      <c r="E35" s="15">
        <v>210</v>
      </c>
      <c r="F35" s="15">
        <v>2014</v>
      </c>
      <c r="H35" s="54">
        <v>2007</v>
      </c>
      <c r="I35" s="55">
        <f>I34+I21</f>
        <v>4.4000000000000004</v>
      </c>
      <c r="J35" s="55">
        <f>J34+J21</f>
        <v>0</v>
      </c>
      <c r="K35" s="55">
        <f>K34+K21</f>
        <v>100</v>
      </c>
      <c r="L35" s="55">
        <f>L34+L21</f>
        <v>104.4</v>
      </c>
    </row>
    <row r="36" spans="1:12" x14ac:dyDescent="0.2">
      <c r="A36" s="10" t="s">
        <v>50</v>
      </c>
      <c r="B36" s="8" t="s">
        <v>57</v>
      </c>
      <c r="C36" s="7" t="s">
        <v>85</v>
      </c>
      <c r="D36" s="9" t="s">
        <v>60</v>
      </c>
      <c r="E36" s="13">
        <v>75</v>
      </c>
      <c r="F36" s="13">
        <v>2012</v>
      </c>
      <c r="H36" s="47">
        <v>2008</v>
      </c>
      <c r="I36" s="55">
        <f t="shared" ref="I36:J42" si="6">I35+I22</f>
        <v>4.4000000000000004</v>
      </c>
      <c r="J36" s="55">
        <f t="shared" si="6"/>
        <v>0</v>
      </c>
      <c r="K36" s="55">
        <f t="shared" ref="K36:L36" si="7">K35+K22</f>
        <v>100</v>
      </c>
      <c r="L36" s="55">
        <f t="shared" si="7"/>
        <v>104.4</v>
      </c>
    </row>
    <row r="37" spans="1:12" x14ac:dyDescent="0.2">
      <c r="A37" s="10" t="s">
        <v>16</v>
      </c>
      <c r="B37" s="8" t="s">
        <v>15</v>
      </c>
      <c r="C37" s="11" t="s">
        <v>82</v>
      </c>
      <c r="D37" s="9" t="s">
        <v>61</v>
      </c>
      <c r="E37" s="11"/>
      <c r="F37" s="13">
        <v>2006</v>
      </c>
      <c r="H37" s="54">
        <v>2009</v>
      </c>
      <c r="I37" s="55">
        <f t="shared" si="6"/>
        <v>140.4</v>
      </c>
      <c r="J37" s="55">
        <f t="shared" si="6"/>
        <v>0</v>
      </c>
      <c r="K37" s="55">
        <f t="shared" ref="K37:L37" si="8">K36+K23</f>
        <v>100</v>
      </c>
      <c r="L37" s="55">
        <f t="shared" si="8"/>
        <v>240.4</v>
      </c>
    </row>
    <row r="38" spans="1:12" x14ac:dyDescent="0.2">
      <c r="A38" s="10" t="s">
        <v>51</v>
      </c>
      <c r="B38" s="8" t="s">
        <v>58</v>
      </c>
      <c r="C38" s="7" t="s">
        <v>85</v>
      </c>
      <c r="D38" s="9" t="s">
        <v>60</v>
      </c>
      <c r="E38" s="13">
        <v>50</v>
      </c>
      <c r="F38" s="13">
        <v>2012</v>
      </c>
      <c r="H38" s="56">
        <v>2010</v>
      </c>
      <c r="I38" s="55">
        <f t="shared" si="6"/>
        <v>140.4</v>
      </c>
      <c r="J38" s="55">
        <f t="shared" si="6"/>
        <v>0</v>
      </c>
      <c r="K38" s="55">
        <f t="shared" ref="K38:L38" si="9">K37+K24</f>
        <v>100</v>
      </c>
      <c r="L38" s="55">
        <f t="shared" si="9"/>
        <v>240.4</v>
      </c>
    </row>
    <row r="39" spans="1:12" x14ac:dyDescent="0.2">
      <c r="A39" s="22" t="s">
        <v>69</v>
      </c>
      <c r="B39" s="11" t="s">
        <v>72</v>
      </c>
      <c r="C39" s="7" t="s">
        <v>85</v>
      </c>
      <c r="D39" s="7" t="s">
        <v>60</v>
      </c>
      <c r="E39" s="11">
        <v>10</v>
      </c>
      <c r="F39" s="11">
        <v>2014</v>
      </c>
      <c r="H39" s="56">
        <v>2011</v>
      </c>
      <c r="I39" s="55">
        <f t="shared" si="6"/>
        <v>180.4</v>
      </c>
      <c r="J39" s="55">
        <f t="shared" si="6"/>
        <v>0</v>
      </c>
      <c r="K39" s="55">
        <f t="shared" ref="K39:L39" si="10">K38+K25</f>
        <v>510</v>
      </c>
      <c r="L39" s="55">
        <f t="shared" si="10"/>
        <v>690.4</v>
      </c>
    </row>
    <row r="40" spans="1:12" x14ac:dyDescent="0.2">
      <c r="A40" s="10" t="s">
        <v>22</v>
      </c>
      <c r="B40" s="8" t="s">
        <v>21</v>
      </c>
      <c r="C40" s="11" t="s">
        <v>82</v>
      </c>
      <c r="D40" s="9" t="s">
        <v>61</v>
      </c>
      <c r="E40" s="11"/>
      <c r="F40" s="13">
        <v>2011</v>
      </c>
      <c r="H40" s="56">
        <v>2012</v>
      </c>
      <c r="I40" s="55">
        <f t="shared" si="6"/>
        <v>380.4</v>
      </c>
      <c r="J40" s="55">
        <f t="shared" si="6"/>
        <v>0</v>
      </c>
      <c r="K40" s="55">
        <f t="shared" ref="K40:L40" si="11">K39+K26</f>
        <v>510</v>
      </c>
      <c r="L40" s="55">
        <f t="shared" si="11"/>
        <v>890.4</v>
      </c>
    </row>
    <row r="41" spans="1:12" x14ac:dyDescent="0.2">
      <c r="A41" s="23" t="s">
        <v>3</v>
      </c>
      <c r="B41" s="24" t="s">
        <v>64</v>
      </c>
      <c r="C41" s="7" t="s">
        <v>84</v>
      </c>
      <c r="D41" s="9" t="s">
        <v>60</v>
      </c>
      <c r="E41" s="25">
        <v>87</v>
      </c>
      <c r="F41" s="25">
        <v>2008</v>
      </c>
      <c r="H41" s="56">
        <v>2013</v>
      </c>
      <c r="I41" s="55">
        <f t="shared" si="6"/>
        <v>981.84</v>
      </c>
      <c r="J41" s="55">
        <f t="shared" si="6"/>
        <v>0</v>
      </c>
      <c r="K41" s="55">
        <f t="shared" ref="K41:L41" si="12">K40+K27</f>
        <v>510</v>
      </c>
      <c r="L41" s="55">
        <f t="shared" si="12"/>
        <v>1491.8400000000001</v>
      </c>
    </row>
    <row r="42" spans="1:12" x14ac:dyDescent="0.2">
      <c r="A42" s="18" t="s">
        <v>80</v>
      </c>
      <c r="B42" s="7" t="s">
        <v>106</v>
      </c>
      <c r="C42" s="8" t="s">
        <v>26</v>
      </c>
      <c r="D42" s="9" t="s">
        <v>60</v>
      </c>
      <c r="E42" s="15"/>
      <c r="F42" s="8">
        <v>2012</v>
      </c>
      <c r="H42" s="57">
        <v>2014</v>
      </c>
      <c r="I42" s="55">
        <f t="shared" si="6"/>
        <v>1238.8400000000001</v>
      </c>
      <c r="J42" s="55">
        <f t="shared" si="6"/>
        <v>0</v>
      </c>
      <c r="K42" s="55">
        <f t="shared" ref="K42:L42" si="13">K41+K28</f>
        <v>510</v>
      </c>
      <c r="L42" s="55">
        <f t="shared" si="13"/>
        <v>1748.8400000000001</v>
      </c>
    </row>
    <row r="43" spans="1:12" x14ac:dyDescent="0.2">
      <c r="A43" s="18" t="s">
        <v>79</v>
      </c>
      <c r="B43" s="8" t="s">
        <v>25</v>
      </c>
      <c r="C43" s="8" t="s">
        <v>26</v>
      </c>
      <c r="D43" s="9" t="s">
        <v>60</v>
      </c>
      <c r="E43" s="15"/>
      <c r="F43" s="8">
        <v>2011</v>
      </c>
      <c r="H43"/>
      <c r="I43"/>
      <c r="J43"/>
      <c r="K43"/>
    </row>
    <row r="44" spans="1:12" x14ac:dyDescent="0.2">
      <c r="A44" s="18" t="s">
        <v>87</v>
      </c>
      <c r="B44" s="8" t="s">
        <v>35</v>
      </c>
      <c r="C44" s="7" t="s">
        <v>83</v>
      </c>
      <c r="D44" s="9" t="s">
        <v>60</v>
      </c>
      <c r="E44" s="21">
        <v>49</v>
      </c>
      <c r="F44" s="8">
        <v>2006</v>
      </c>
      <c r="H44"/>
      <c r="I44"/>
      <c r="J44"/>
      <c r="K44"/>
    </row>
    <row r="45" spans="1:12" x14ac:dyDescent="0.2">
      <c r="A45" s="10" t="s">
        <v>20</v>
      </c>
      <c r="B45" s="8" t="s">
        <v>19</v>
      </c>
      <c r="C45" s="11" t="s">
        <v>82</v>
      </c>
      <c r="D45" s="9" t="s">
        <v>61</v>
      </c>
      <c r="E45" s="11"/>
      <c r="F45" s="13">
        <v>2008</v>
      </c>
      <c r="H45"/>
      <c r="I45"/>
      <c r="J45"/>
      <c r="K45"/>
    </row>
    <row r="46" spans="1:12" x14ac:dyDescent="0.2">
      <c r="A46" s="22" t="s">
        <v>94</v>
      </c>
      <c r="B46" s="8" t="s">
        <v>52</v>
      </c>
      <c r="C46" s="7" t="s">
        <v>85</v>
      </c>
      <c r="D46" s="9" t="s">
        <v>60</v>
      </c>
      <c r="E46" s="13">
        <v>75</v>
      </c>
      <c r="F46" s="13">
        <v>2013</v>
      </c>
      <c r="H46"/>
      <c r="I46"/>
      <c r="J46"/>
      <c r="K46"/>
    </row>
    <row r="47" spans="1:12" x14ac:dyDescent="0.2">
      <c r="A47" s="23" t="s">
        <v>4</v>
      </c>
      <c r="B47" s="24" t="s">
        <v>65</v>
      </c>
      <c r="C47" s="7" t="s">
        <v>84</v>
      </c>
      <c r="D47" s="9" t="s">
        <v>60</v>
      </c>
      <c r="E47" s="25">
        <v>93</v>
      </c>
      <c r="F47" s="25">
        <v>2008</v>
      </c>
      <c r="H47"/>
      <c r="I47"/>
      <c r="J47"/>
      <c r="K47"/>
    </row>
    <row r="48" spans="1:12" x14ac:dyDescent="0.2">
      <c r="A48" s="6" t="s">
        <v>37</v>
      </c>
      <c r="B48" s="8" t="s">
        <v>36</v>
      </c>
      <c r="C48" s="7" t="s">
        <v>83</v>
      </c>
      <c r="D48" s="9" t="s">
        <v>60</v>
      </c>
      <c r="E48" s="20">
        <v>115</v>
      </c>
      <c r="F48" s="8">
        <v>2006</v>
      </c>
      <c r="H48"/>
      <c r="I48"/>
      <c r="J48"/>
      <c r="K48"/>
    </row>
    <row r="49" spans="1:11" x14ac:dyDescent="0.2">
      <c r="A49" s="18" t="s">
        <v>49</v>
      </c>
      <c r="B49" s="8" t="s">
        <v>27</v>
      </c>
      <c r="C49" s="8" t="s">
        <v>26</v>
      </c>
      <c r="D49" s="9" t="s">
        <v>60</v>
      </c>
      <c r="E49" s="15"/>
      <c r="F49" s="8">
        <v>2009</v>
      </c>
      <c r="H49"/>
      <c r="I49"/>
      <c r="J49"/>
      <c r="K49"/>
    </row>
    <row r="50" spans="1:11" x14ac:dyDescent="0.2">
      <c r="A50" s="10" t="s">
        <v>49</v>
      </c>
      <c r="B50" s="8" t="s">
        <v>27</v>
      </c>
      <c r="C50" s="7" t="s">
        <v>85</v>
      </c>
      <c r="D50" s="9" t="s">
        <v>60</v>
      </c>
      <c r="E50" s="13">
        <v>216</v>
      </c>
      <c r="F50" s="13">
        <v>2013</v>
      </c>
      <c r="H50"/>
      <c r="I50"/>
      <c r="J50"/>
      <c r="K50"/>
    </row>
    <row r="51" spans="1:11" x14ac:dyDescent="0.2">
      <c r="A51" s="22" t="s">
        <v>91</v>
      </c>
      <c r="B51" s="8" t="s">
        <v>43</v>
      </c>
      <c r="C51" s="7" t="s">
        <v>84</v>
      </c>
      <c r="D51" s="9" t="s">
        <v>61</v>
      </c>
      <c r="E51" s="13">
        <v>100</v>
      </c>
      <c r="F51" s="13">
        <v>2010</v>
      </c>
      <c r="H51"/>
      <c r="I51"/>
      <c r="J51"/>
      <c r="K51"/>
    </row>
    <row r="52" spans="1:11" x14ac:dyDescent="0.2">
      <c r="A52" s="10" t="s">
        <v>24</v>
      </c>
      <c r="B52" s="8" t="s">
        <v>23</v>
      </c>
      <c r="C52" s="11" t="s">
        <v>82</v>
      </c>
      <c r="D52" s="9" t="s">
        <v>61</v>
      </c>
      <c r="E52" s="11"/>
      <c r="F52" s="13">
        <v>2011</v>
      </c>
      <c r="H52"/>
      <c r="I52"/>
      <c r="J52"/>
      <c r="K52"/>
    </row>
    <row r="53" spans="1:11" x14ac:dyDescent="0.2">
      <c r="A53" s="10" t="s">
        <v>48</v>
      </c>
      <c r="B53" s="8" t="s">
        <v>53</v>
      </c>
      <c r="C53" s="7" t="s">
        <v>85</v>
      </c>
      <c r="D53" s="9" t="s">
        <v>60</v>
      </c>
      <c r="E53" s="13">
        <v>84</v>
      </c>
      <c r="F53" s="13">
        <v>2013</v>
      </c>
      <c r="H53"/>
      <c r="I53"/>
      <c r="J53"/>
      <c r="K53"/>
    </row>
    <row r="54" spans="1:11" x14ac:dyDescent="0.2">
      <c r="A54" s="19" t="s">
        <v>99</v>
      </c>
      <c r="B54" s="7" t="s">
        <v>77</v>
      </c>
      <c r="C54" s="8" t="s">
        <v>26</v>
      </c>
      <c r="D54" s="9" t="s">
        <v>60</v>
      </c>
      <c r="E54" s="14"/>
      <c r="F54" s="8">
        <v>2010</v>
      </c>
      <c r="H54"/>
      <c r="I54"/>
      <c r="J54"/>
      <c r="K54"/>
    </row>
    <row r="55" spans="1:11" x14ac:dyDescent="0.2">
      <c r="A55" s="19" t="s">
        <v>99</v>
      </c>
      <c r="B55" s="7" t="s">
        <v>77</v>
      </c>
      <c r="C55" s="7" t="s">
        <v>84</v>
      </c>
      <c r="D55" s="9" t="s">
        <v>60</v>
      </c>
      <c r="E55" s="8">
        <v>21.07</v>
      </c>
      <c r="F55" s="8">
        <v>2010</v>
      </c>
      <c r="H55"/>
      <c r="I55"/>
      <c r="J55"/>
      <c r="K55"/>
    </row>
    <row r="56" spans="1:11" x14ac:dyDescent="0.2">
      <c r="A56" s="19" t="s">
        <v>99</v>
      </c>
      <c r="B56" s="7" t="s">
        <v>77</v>
      </c>
      <c r="C56" s="7" t="s">
        <v>85</v>
      </c>
      <c r="D56" s="31" t="s">
        <v>60</v>
      </c>
      <c r="E56" s="31">
        <v>10</v>
      </c>
      <c r="F56" s="31">
        <v>2014</v>
      </c>
      <c r="H56"/>
      <c r="I56"/>
      <c r="J56"/>
      <c r="K56"/>
    </row>
    <row r="57" spans="1:11" x14ac:dyDescent="0.2">
      <c r="A57" s="22" t="s">
        <v>89</v>
      </c>
      <c r="B57" s="8" t="s">
        <v>44</v>
      </c>
      <c r="C57" s="7" t="s">
        <v>84</v>
      </c>
      <c r="D57" s="9" t="s">
        <v>61</v>
      </c>
      <c r="E57" s="13">
        <v>224</v>
      </c>
      <c r="F57" s="13">
        <v>2010</v>
      </c>
      <c r="H57"/>
      <c r="I57"/>
      <c r="J57"/>
      <c r="K57"/>
    </row>
    <row r="58" spans="1:11" x14ac:dyDescent="0.2">
      <c r="A58" s="23" t="s">
        <v>5</v>
      </c>
      <c r="B58" s="24" t="s">
        <v>66</v>
      </c>
      <c r="C58" s="7" t="s">
        <v>84</v>
      </c>
      <c r="D58" s="9" t="s">
        <v>60</v>
      </c>
      <c r="E58" s="25">
        <v>50</v>
      </c>
      <c r="F58" s="25">
        <v>2008</v>
      </c>
      <c r="H58"/>
      <c r="I58"/>
      <c r="J58"/>
      <c r="K58"/>
    </row>
    <row r="59" spans="1:11" x14ac:dyDescent="0.2">
      <c r="A59" s="22" t="s">
        <v>98</v>
      </c>
      <c r="B59" s="11" t="s">
        <v>74</v>
      </c>
      <c r="C59" s="7" t="s">
        <v>85</v>
      </c>
      <c r="D59" s="7" t="s">
        <v>60</v>
      </c>
      <c r="E59" s="11">
        <v>10</v>
      </c>
      <c r="F59" s="11">
        <v>2014</v>
      </c>
      <c r="H59"/>
      <c r="I59"/>
      <c r="J59"/>
      <c r="K59"/>
    </row>
    <row r="60" spans="1:11" x14ac:dyDescent="0.2">
      <c r="A60" s="22" t="s">
        <v>92</v>
      </c>
      <c r="B60" s="8" t="s">
        <v>59</v>
      </c>
      <c r="C60" s="7" t="s">
        <v>85</v>
      </c>
      <c r="D60" s="9" t="s">
        <v>60</v>
      </c>
      <c r="E60" s="13">
        <v>75</v>
      </c>
      <c r="F60" s="13">
        <v>2012</v>
      </c>
      <c r="H60"/>
      <c r="I60"/>
      <c r="J60"/>
      <c r="K60"/>
    </row>
    <row r="61" spans="1:11" x14ac:dyDescent="0.2">
      <c r="A61" s="32" t="s">
        <v>29</v>
      </c>
      <c r="B61" s="33" t="s">
        <v>28</v>
      </c>
      <c r="C61" s="33" t="s">
        <v>26</v>
      </c>
      <c r="D61" s="34" t="s">
        <v>60</v>
      </c>
      <c r="E61" s="35"/>
      <c r="F61" s="33">
        <v>2003</v>
      </c>
      <c r="H61"/>
      <c r="I61"/>
      <c r="J61"/>
      <c r="K61"/>
    </row>
    <row r="62" spans="1:11" x14ac:dyDescent="0.2">
      <c r="B62" s="1"/>
      <c r="D62" s="3"/>
      <c r="H62"/>
      <c r="I62"/>
      <c r="J62"/>
      <c r="K62"/>
    </row>
    <row r="63" spans="1:11" x14ac:dyDescent="0.2">
      <c r="H63"/>
      <c r="I63"/>
      <c r="J63"/>
      <c r="K63"/>
    </row>
    <row r="64" spans="1:11" x14ac:dyDescent="0.2">
      <c r="H64"/>
      <c r="I64"/>
      <c r="J64"/>
      <c r="K64"/>
    </row>
    <row r="65" spans="8:11" x14ac:dyDescent="0.2">
      <c r="H65"/>
      <c r="I65" s="3"/>
      <c r="J65" s="3"/>
      <c r="K65" s="3"/>
    </row>
    <row r="66" spans="8:11" x14ac:dyDescent="0.2">
      <c r="H66"/>
    </row>
    <row r="67" spans="8:11" x14ac:dyDescent="0.2">
      <c r="H67"/>
    </row>
    <row r="68" spans="8:11" x14ac:dyDescent="0.2">
      <c r="H68"/>
    </row>
    <row r="69" spans="8:11" x14ac:dyDescent="0.2">
      <c r="H69"/>
    </row>
    <row r="70" spans="8:11" x14ac:dyDescent="0.2">
      <c r="H70"/>
    </row>
    <row r="71" spans="8:11" x14ac:dyDescent="0.2">
      <c r="H71"/>
    </row>
    <row r="72" spans="8:11" x14ac:dyDescent="0.2">
      <c r="H72"/>
    </row>
    <row r="73" spans="8:11" x14ac:dyDescent="0.2">
      <c r="H73"/>
    </row>
    <row r="74" spans="8:11" x14ac:dyDescent="0.2">
      <c r="H74"/>
    </row>
    <row r="75" spans="8:11" x14ac:dyDescent="0.2">
      <c r="H75"/>
    </row>
  </sheetData>
  <autoFilter ref="H18:K18" xr:uid="{1A5D824C-C4C5-F447-B916-807BF8680656}"/>
  <pageMargins left="0.70866141732283472" right="0.70866141732283472" top="0.74803149606299213" bottom="0.74803149606299213" header="0.31496062992125984" footer="0.31496062992125984"/>
  <pageSetup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7819-1AB9-0A42-894F-D1A9389F707F}">
  <dimension ref="A1:F27"/>
  <sheetViews>
    <sheetView zoomScale="150" zoomScaleNormal="150" workbookViewId="0">
      <selection sqref="A1:F1048576"/>
    </sheetView>
  </sheetViews>
  <sheetFormatPr baseColWidth="10" defaultRowHeight="15" x14ac:dyDescent="0.2"/>
  <cols>
    <col min="1" max="1" width="36.1640625" style="2" customWidth="1"/>
    <col min="2" max="2" width="36.33203125" style="2" customWidth="1"/>
    <col min="3" max="3" width="25.1640625" style="2" customWidth="1"/>
    <col min="4" max="4" width="22.1640625" style="2" customWidth="1"/>
    <col min="5" max="5" width="18.5" style="2" customWidth="1"/>
    <col min="6" max="6" width="18.5" style="2" bestFit="1" customWidth="1"/>
  </cols>
  <sheetData>
    <row r="1" spans="1:6" x14ac:dyDescent="0.2">
      <c r="A1" s="5" t="s">
        <v>115</v>
      </c>
      <c r="B1" s="5" t="s">
        <v>114</v>
      </c>
      <c r="C1" s="5" t="s">
        <v>116</v>
      </c>
      <c r="D1" s="5" t="s">
        <v>126</v>
      </c>
      <c r="E1" s="5" t="s">
        <v>118</v>
      </c>
      <c r="F1" s="5" t="s">
        <v>117</v>
      </c>
    </row>
    <row r="2" spans="1:6" x14ac:dyDescent="0.2">
      <c r="A2" s="26" t="s">
        <v>110</v>
      </c>
      <c r="B2" s="24" t="s">
        <v>67</v>
      </c>
      <c r="C2" s="7" t="s">
        <v>85</v>
      </c>
      <c r="D2" s="9" t="s">
        <v>60</v>
      </c>
      <c r="E2" s="25">
        <v>50</v>
      </c>
      <c r="F2" s="25">
        <v>2009</v>
      </c>
    </row>
    <row r="3" spans="1:6" x14ac:dyDescent="0.2">
      <c r="A3" s="22" t="s">
        <v>96</v>
      </c>
      <c r="B3" s="8" t="s">
        <v>55</v>
      </c>
      <c r="C3" s="7" t="s">
        <v>85</v>
      </c>
      <c r="D3" s="9" t="s">
        <v>60</v>
      </c>
      <c r="E3" s="13">
        <v>48</v>
      </c>
      <c r="F3" s="13">
        <v>2013</v>
      </c>
    </row>
    <row r="4" spans="1:6" x14ac:dyDescent="0.2">
      <c r="A4" s="22" t="s">
        <v>76</v>
      </c>
      <c r="B4" s="16" t="s">
        <v>119</v>
      </c>
      <c r="C4" s="7" t="s">
        <v>85</v>
      </c>
      <c r="D4" s="9" t="s">
        <v>60</v>
      </c>
      <c r="E4" s="29">
        <v>3.44</v>
      </c>
      <c r="F4" s="13">
        <v>2013</v>
      </c>
    </row>
    <row r="5" spans="1:6" x14ac:dyDescent="0.2">
      <c r="A5" s="10" t="s">
        <v>12</v>
      </c>
      <c r="B5" s="27" t="s">
        <v>68</v>
      </c>
      <c r="C5" s="7" t="s">
        <v>85</v>
      </c>
      <c r="D5" s="28" t="s">
        <v>60</v>
      </c>
      <c r="E5" s="13">
        <v>40</v>
      </c>
      <c r="F5" s="13">
        <v>2011</v>
      </c>
    </row>
    <row r="6" spans="1:6" x14ac:dyDescent="0.2">
      <c r="A6" s="22" t="s">
        <v>97</v>
      </c>
      <c r="B6" s="11" t="s">
        <v>71</v>
      </c>
      <c r="C6" s="7" t="s">
        <v>85</v>
      </c>
      <c r="D6" s="7" t="s">
        <v>60</v>
      </c>
      <c r="E6" s="11">
        <v>10</v>
      </c>
      <c r="F6" s="11">
        <v>2014</v>
      </c>
    </row>
    <row r="7" spans="1:6" x14ac:dyDescent="0.2">
      <c r="A7" s="22" t="s">
        <v>70</v>
      </c>
      <c r="B7" s="11" t="s">
        <v>73</v>
      </c>
      <c r="C7" s="7" t="s">
        <v>85</v>
      </c>
      <c r="D7" s="7" t="s">
        <v>60</v>
      </c>
      <c r="E7" s="11">
        <v>4</v>
      </c>
      <c r="F7" s="11">
        <v>2014</v>
      </c>
    </row>
    <row r="8" spans="1:6" x14ac:dyDescent="0.2">
      <c r="A8" s="22" t="s">
        <v>104</v>
      </c>
      <c r="B8" s="11" t="s">
        <v>108</v>
      </c>
      <c r="C8" s="7" t="s">
        <v>85</v>
      </c>
      <c r="D8" s="7" t="s">
        <v>100</v>
      </c>
      <c r="E8" s="11">
        <v>250</v>
      </c>
      <c r="F8" s="11">
        <v>2011</v>
      </c>
    </row>
    <row r="9" spans="1:6" x14ac:dyDescent="0.2">
      <c r="A9" s="22" t="s">
        <v>102</v>
      </c>
      <c r="B9" s="11" t="s">
        <v>108</v>
      </c>
      <c r="C9" s="7" t="s">
        <v>85</v>
      </c>
      <c r="D9" s="7" t="s">
        <v>100</v>
      </c>
      <c r="E9" s="11">
        <v>100</v>
      </c>
      <c r="F9" s="11">
        <v>2006</v>
      </c>
    </row>
    <row r="10" spans="1:6" x14ac:dyDescent="0.2">
      <c r="A10" s="22" t="s">
        <v>103</v>
      </c>
      <c r="B10" s="11" t="s">
        <v>108</v>
      </c>
      <c r="C10" s="7" t="s">
        <v>85</v>
      </c>
      <c r="D10" s="7" t="s">
        <v>100</v>
      </c>
      <c r="E10" s="11">
        <v>160</v>
      </c>
      <c r="F10" s="11">
        <v>2011</v>
      </c>
    </row>
    <row r="11" spans="1:6" x14ac:dyDescent="0.2">
      <c r="A11" s="10" t="s">
        <v>10</v>
      </c>
      <c r="B11" s="13" t="s">
        <v>11</v>
      </c>
      <c r="C11" s="7" t="s">
        <v>85</v>
      </c>
      <c r="D11" s="12" t="s">
        <v>60</v>
      </c>
      <c r="E11" s="25">
        <v>3.2</v>
      </c>
      <c r="F11" s="13">
        <v>2007</v>
      </c>
    </row>
    <row r="12" spans="1:6" x14ac:dyDescent="0.2">
      <c r="A12" s="10" t="s">
        <v>8</v>
      </c>
      <c r="B12" s="13" t="s">
        <v>9</v>
      </c>
      <c r="C12" s="7" t="s">
        <v>85</v>
      </c>
      <c r="D12" s="12" t="s">
        <v>60</v>
      </c>
      <c r="E12" s="25">
        <v>1.2</v>
      </c>
      <c r="F12" s="13">
        <v>2007</v>
      </c>
    </row>
    <row r="13" spans="1:6" x14ac:dyDescent="0.2">
      <c r="A13" s="22" t="s">
        <v>95</v>
      </c>
      <c r="B13" s="8" t="s">
        <v>56</v>
      </c>
      <c r="C13" s="7" t="s">
        <v>85</v>
      </c>
      <c r="D13" s="9" t="s">
        <v>60</v>
      </c>
      <c r="E13" s="13">
        <v>75</v>
      </c>
      <c r="F13" s="13">
        <v>2013</v>
      </c>
    </row>
    <row r="14" spans="1:6" x14ac:dyDescent="0.2">
      <c r="A14" s="22" t="s">
        <v>93</v>
      </c>
      <c r="B14" s="8" t="s">
        <v>54</v>
      </c>
      <c r="C14" s="7" t="s">
        <v>85</v>
      </c>
      <c r="D14" s="9" t="s">
        <v>60</v>
      </c>
      <c r="E14" s="13">
        <v>100</v>
      </c>
      <c r="F14" s="13">
        <v>2013</v>
      </c>
    </row>
    <row r="15" spans="1:6" x14ac:dyDescent="0.2">
      <c r="A15" s="22" t="s">
        <v>75</v>
      </c>
      <c r="B15" s="11" t="s">
        <v>109</v>
      </c>
      <c r="C15" s="7" t="s">
        <v>85</v>
      </c>
      <c r="D15" s="11" t="s">
        <v>60</v>
      </c>
      <c r="E15" s="11">
        <v>3</v>
      </c>
      <c r="F15" s="11">
        <v>2014</v>
      </c>
    </row>
    <row r="16" spans="1:6" x14ac:dyDescent="0.2">
      <c r="A16" s="23" t="s">
        <v>6</v>
      </c>
      <c r="B16" s="30" t="s">
        <v>107</v>
      </c>
      <c r="C16" s="7" t="s">
        <v>85</v>
      </c>
      <c r="D16" s="12" t="s">
        <v>60</v>
      </c>
      <c r="E16" s="25">
        <v>86</v>
      </c>
      <c r="F16" s="25">
        <v>2009</v>
      </c>
    </row>
    <row r="17" spans="1:6" x14ac:dyDescent="0.2">
      <c r="A17" s="36" t="s">
        <v>112</v>
      </c>
      <c r="B17" s="37" t="s">
        <v>113</v>
      </c>
      <c r="C17" s="37" t="s">
        <v>85</v>
      </c>
      <c r="D17" s="37" t="s">
        <v>60</v>
      </c>
      <c r="E17" s="15">
        <v>210</v>
      </c>
      <c r="F17" s="15">
        <v>2014</v>
      </c>
    </row>
    <row r="18" spans="1:6" x14ac:dyDescent="0.2">
      <c r="A18" s="10" t="s">
        <v>50</v>
      </c>
      <c r="B18" s="8" t="s">
        <v>57</v>
      </c>
      <c r="C18" s="7" t="s">
        <v>85</v>
      </c>
      <c r="D18" s="9" t="s">
        <v>60</v>
      </c>
      <c r="E18" s="13">
        <v>75</v>
      </c>
      <c r="F18" s="13">
        <v>2012</v>
      </c>
    </row>
    <row r="19" spans="1:6" x14ac:dyDescent="0.2">
      <c r="A19" s="10" t="s">
        <v>51</v>
      </c>
      <c r="B19" s="8" t="s">
        <v>58</v>
      </c>
      <c r="C19" s="7" t="s">
        <v>85</v>
      </c>
      <c r="D19" s="9" t="s">
        <v>60</v>
      </c>
      <c r="E19" s="13">
        <v>50</v>
      </c>
      <c r="F19" s="13">
        <v>2012</v>
      </c>
    </row>
    <row r="20" spans="1:6" x14ac:dyDescent="0.2">
      <c r="A20" s="22" t="s">
        <v>69</v>
      </c>
      <c r="B20" s="11" t="s">
        <v>72</v>
      </c>
      <c r="C20" s="7" t="s">
        <v>85</v>
      </c>
      <c r="D20" s="7" t="s">
        <v>60</v>
      </c>
      <c r="E20" s="11">
        <v>10</v>
      </c>
      <c r="F20" s="11">
        <v>2014</v>
      </c>
    </row>
    <row r="21" spans="1:6" x14ac:dyDescent="0.2">
      <c r="A21" s="22" t="s">
        <v>94</v>
      </c>
      <c r="B21" s="8" t="s">
        <v>52</v>
      </c>
      <c r="C21" s="7" t="s">
        <v>85</v>
      </c>
      <c r="D21" s="9" t="s">
        <v>60</v>
      </c>
      <c r="E21" s="13">
        <v>75</v>
      </c>
      <c r="F21" s="13">
        <v>2013</v>
      </c>
    </row>
    <row r="22" spans="1:6" x14ac:dyDescent="0.2">
      <c r="A22" s="10" t="s">
        <v>49</v>
      </c>
      <c r="B22" s="8" t="s">
        <v>27</v>
      </c>
      <c r="C22" s="7" t="s">
        <v>85</v>
      </c>
      <c r="D22" s="9" t="s">
        <v>60</v>
      </c>
      <c r="E22" s="13">
        <v>216</v>
      </c>
      <c r="F22" s="13">
        <v>2013</v>
      </c>
    </row>
    <row r="23" spans="1:6" x14ac:dyDescent="0.2">
      <c r="A23" s="10" t="s">
        <v>48</v>
      </c>
      <c r="B23" s="8" t="s">
        <v>53</v>
      </c>
      <c r="C23" s="7" t="s">
        <v>85</v>
      </c>
      <c r="D23" s="9" t="s">
        <v>60</v>
      </c>
      <c r="E23" s="13">
        <v>84</v>
      </c>
      <c r="F23" s="13">
        <v>2013</v>
      </c>
    </row>
    <row r="24" spans="1:6" x14ac:dyDescent="0.2">
      <c r="A24" s="19" t="s">
        <v>99</v>
      </c>
      <c r="B24" s="7" t="s">
        <v>77</v>
      </c>
      <c r="C24" s="7" t="s">
        <v>85</v>
      </c>
      <c r="D24" s="31" t="s">
        <v>60</v>
      </c>
      <c r="E24" s="31">
        <v>10</v>
      </c>
      <c r="F24" s="31">
        <v>2014</v>
      </c>
    </row>
    <row r="25" spans="1:6" x14ac:dyDescent="0.2">
      <c r="A25" s="22" t="s">
        <v>98</v>
      </c>
      <c r="B25" s="11" t="s">
        <v>74</v>
      </c>
      <c r="C25" s="7" t="s">
        <v>85</v>
      </c>
      <c r="D25" s="7" t="s">
        <v>60</v>
      </c>
      <c r="E25" s="11">
        <v>10</v>
      </c>
      <c r="F25" s="11">
        <v>2014</v>
      </c>
    </row>
    <row r="26" spans="1:6" x14ac:dyDescent="0.2">
      <c r="A26" s="22" t="s">
        <v>92</v>
      </c>
      <c r="B26" s="8" t="s">
        <v>59</v>
      </c>
      <c r="C26" s="7" t="s">
        <v>85</v>
      </c>
      <c r="D26" s="9" t="s">
        <v>60</v>
      </c>
      <c r="E26" s="13">
        <v>75</v>
      </c>
      <c r="F26" s="13">
        <v>2012</v>
      </c>
    </row>
    <row r="27" spans="1:6" x14ac:dyDescent="0.2">
      <c r="B27" s="1"/>
      <c r="D27" s="3"/>
    </row>
  </sheetData>
  <autoFilter ref="A1:F1" xr:uid="{5A3E7819-1AB9-0A42-894F-D1A9389F707F}">
    <sortState xmlns:xlrd2="http://schemas.microsoft.com/office/spreadsheetml/2017/richdata2" ref="A2:F60">
      <sortCondition ref="C1:C6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3142-9756-4248-8876-A91BBC3B20F2}">
  <dimension ref="A1:E11"/>
  <sheetViews>
    <sheetView tabSelected="1" workbookViewId="0">
      <selection activeCell="C8" sqref="C8"/>
    </sheetView>
  </sheetViews>
  <sheetFormatPr baseColWidth="10" defaultRowHeight="15" x14ac:dyDescent="0.2"/>
  <cols>
    <col min="1" max="5" width="14" customWidth="1"/>
  </cols>
  <sheetData>
    <row r="1" spans="1:5" x14ac:dyDescent="0.2">
      <c r="A1" s="63" t="s">
        <v>122</v>
      </c>
      <c r="B1" s="64" t="s">
        <v>60</v>
      </c>
      <c r="C1" s="64" t="s">
        <v>61</v>
      </c>
      <c r="D1" s="64" t="s">
        <v>100</v>
      </c>
      <c r="E1" s="64" t="s">
        <v>124</v>
      </c>
    </row>
    <row r="2" spans="1:5" x14ac:dyDescent="0.2">
      <c r="A2" s="65" t="s">
        <v>219</v>
      </c>
      <c r="B2" s="66" t="s">
        <v>125</v>
      </c>
      <c r="C2" s="66" t="s">
        <v>125</v>
      </c>
      <c r="D2" s="66" t="s">
        <v>125</v>
      </c>
      <c r="E2" s="66" t="s">
        <v>125</v>
      </c>
    </row>
    <row r="3" spans="1:5" x14ac:dyDescent="0.2">
      <c r="A3" s="67">
        <v>2006</v>
      </c>
      <c r="B3" s="68">
        <v>0</v>
      </c>
      <c r="C3" s="68">
        <v>0</v>
      </c>
      <c r="D3" s="68">
        <v>100</v>
      </c>
      <c r="E3" s="68">
        <v>100</v>
      </c>
    </row>
    <row r="4" spans="1:5" x14ac:dyDescent="0.2">
      <c r="A4" s="67">
        <v>2007</v>
      </c>
      <c r="B4" s="68">
        <v>4.4000000000000004</v>
      </c>
      <c r="C4" s="68">
        <v>0</v>
      </c>
      <c r="D4" s="68">
        <v>100</v>
      </c>
      <c r="E4" s="68">
        <v>104.4</v>
      </c>
    </row>
    <row r="5" spans="1:5" x14ac:dyDescent="0.2">
      <c r="A5" s="69">
        <v>2008</v>
      </c>
      <c r="B5" s="68">
        <v>4.4000000000000004</v>
      </c>
      <c r="C5" s="68">
        <v>0</v>
      </c>
      <c r="D5" s="68">
        <v>100</v>
      </c>
      <c r="E5" s="68">
        <v>104.4</v>
      </c>
    </row>
    <row r="6" spans="1:5" x14ac:dyDescent="0.2">
      <c r="A6" s="67">
        <v>2009</v>
      </c>
      <c r="B6" s="68">
        <v>140.4</v>
      </c>
      <c r="C6" s="68">
        <v>0</v>
      </c>
      <c r="D6" s="68">
        <v>100</v>
      </c>
      <c r="E6" s="68">
        <v>240.4</v>
      </c>
    </row>
    <row r="7" spans="1:5" x14ac:dyDescent="0.2">
      <c r="A7" s="69">
        <v>2010</v>
      </c>
      <c r="B7" s="68">
        <v>140.4</v>
      </c>
      <c r="C7" s="68">
        <v>0</v>
      </c>
      <c r="D7" s="68">
        <v>100</v>
      </c>
      <c r="E7" s="68">
        <v>240.4</v>
      </c>
    </row>
    <row r="8" spans="1:5" x14ac:dyDescent="0.2">
      <c r="A8" s="69">
        <v>2011</v>
      </c>
      <c r="B8" s="68">
        <v>180.4</v>
      </c>
      <c r="C8" s="68">
        <v>0</v>
      </c>
      <c r="D8" s="68">
        <v>510</v>
      </c>
      <c r="E8" s="68">
        <v>690.4</v>
      </c>
    </row>
    <row r="9" spans="1:5" x14ac:dyDescent="0.2">
      <c r="A9" s="69">
        <v>2012</v>
      </c>
      <c r="B9" s="68">
        <v>380.4</v>
      </c>
      <c r="C9" s="68">
        <v>0</v>
      </c>
      <c r="D9" s="68">
        <v>510</v>
      </c>
      <c r="E9" s="68">
        <v>890.4</v>
      </c>
    </row>
    <row r="10" spans="1:5" x14ac:dyDescent="0.2">
      <c r="A10" s="69">
        <v>2013</v>
      </c>
      <c r="B10" s="68">
        <v>981.84</v>
      </c>
      <c r="C10" s="68">
        <v>0</v>
      </c>
      <c r="D10" s="68">
        <v>510</v>
      </c>
      <c r="E10" s="68">
        <v>1491.84</v>
      </c>
    </row>
    <row r="11" spans="1:5" x14ac:dyDescent="0.2">
      <c r="A11" s="69">
        <v>2014</v>
      </c>
      <c r="B11" s="68">
        <v>1238.8399999999999</v>
      </c>
      <c r="C11" s="68">
        <v>0</v>
      </c>
      <c r="D11" s="68">
        <v>510</v>
      </c>
      <c r="E11" s="68">
        <v>1748.84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12F1-1EB9-994C-A10A-1D43AC40A201}">
  <dimension ref="A1:B91"/>
  <sheetViews>
    <sheetView zoomScale="150" zoomScaleNormal="150" workbookViewId="0">
      <selection sqref="A1:C1048576"/>
    </sheetView>
  </sheetViews>
  <sheetFormatPr baseColWidth="10" defaultRowHeight="15" x14ac:dyDescent="0.2"/>
  <sheetData>
    <row r="1" spans="1:2" ht="19" x14ac:dyDescent="0.25">
      <c r="A1" s="42" t="s">
        <v>183</v>
      </c>
    </row>
    <row r="2" spans="1:2" ht="19" x14ac:dyDescent="0.25">
      <c r="A2" s="42" t="s">
        <v>133</v>
      </c>
    </row>
    <row r="3" spans="1:2" x14ac:dyDescent="0.2">
      <c r="A3" t="s">
        <v>134</v>
      </c>
    </row>
    <row r="4" spans="1:2" x14ac:dyDescent="0.2">
      <c r="A4" t="s">
        <v>186</v>
      </c>
    </row>
    <row r="5" spans="1:2" x14ac:dyDescent="0.2">
      <c r="A5" t="s">
        <v>135</v>
      </c>
    </row>
    <row r="6" spans="1:2" x14ac:dyDescent="0.2">
      <c r="A6" t="s">
        <v>136</v>
      </c>
    </row>
    <row r="7" spans="1:2" x14ac:dyDescent="0.2">
      <c r="A7" s="38" t="s">
        <v>203</v>
      </c>
    </row>
    <row r="8" spans="1:2" ht="19" x14ac:dyDescent="0.25">
      <c r="A8" s="42" t="s">
        <v>137</v>
      </c>
    </row>
    <row r="9" spans="1:2" x14ac:dyDescent="0.2">
      <c r="A9" s="38" t="s">
        <v>204</v>
      </c>
    </row>
    <row r="10" spans="1:2" x14ac:dyDescent="0.2">
      <c r="A10" s="38" t="s">
        <v>209</v>
      </c>
    </row>
    <row r="11" spans="1:2" x14ac:dyDescent="0.2">
      <c r="A11" t="s">
        <v>208</v>
      </c>
    </row>
    <row r="12" spans="1:2" x14ac:dyDescent="0.2">
      <c r="A12" t="s">
        <v>210</v>
      </c>
    </row>
    <row r="13" spans="1:2" x14ac:dyDescent="0.2">
      <c r="A13" t="s">
        <v>211</v>
      </c>
    </row>
    <row r="14" spans="1:2" x14ac:dyDescent="0.2">
      <c r="A14" t="s">
        <v>205</v>
      </c>
    </row>
    <row r="15" spans="1:2" x14ac:dyDescent="0.2">
      <c r="B15" s="38" t="s">
        <v>138</v>
      </c>
    </row>
    <row r="16" spans="1:2" x14ac:dyDescent="0.2">
      <c r="B16" s="38" t="s">
        <v>139</v>
      </c>
    </row>
    <row r="17" spans="1:2" x14ac:dyDescent="0.2">
      <c r="B17" t="s">
        <v>140</v>
      </c>
    </row>
    <row r="18" spans="1:2" x14ac:dyDescent="0.2">
      <c r="B18" s="38" t="s">
        <v>187</v>
      </c>
    </row>
    <row r="19" spans="1:2" x14ac:dyDescent="0.2">
      <c r="B19" t="s">
        <v>141</v>
      </c>
    </row>
    <row r="20" spans="1:2" x14ac:dyDescent="0.2">
      <c r="B20" s="38" t="s">
        <v>142</v>
      </c>
    </row>
    <row r="21" spans="1:2" x14ac:dyDescent="0.2">
      <c r="A21" t="s">
        <v>206</v>
      </c>
    </row>
    <row r="22" spans="1:2" x14ac:dyDescent="0.2">
      <c r="A22" t="s">
        <v>188</v>
      </c>
    </row>
    <row r="23" spans="1:2" x14ac:dyDescent="0.2">
      <c r="A23" t="s">
        <v>189</v>
      </c>
    </row>
    <row r="24" spans="1:2" x14ac:dyDescent="0.2">
      <c r="A24" s="38" t="s">
        <v>143</v>
      </c>
    </row>
    <row r="25" spans="1:2" x14ac:dyDescent="0.2">
      <c r="A25" t="s">
        <v>190</v>
      </c>
    </row>
    <row r="26" spans="1:2" x14ac:dyDescent="0.2">
      <c r="A26" t="s">
        <v>144</v>
      </c>
    </row>
    <row r="27" spans="1:2" x14ac:dyDescent="0.2">
      <c r="A27" t="s">
        <v>207</v>
      </c>
    </row>
    <row r="28" spans="1:2" x14ac:dyDescent="0.2">
      <c r="B28" s="38" t="s">
        <v>145</v>
      </c>
    </row>
    <row r="29" spans="1:2" x14ac:dyDescent="0.2">
      <c r="B29" s="38" t="s">
        <v>191</v>
      </c>
    </row>
    <row r="30" spans="1:2" x14ac:dyDescent="0.2">
      <c r="B30" s="38" t="s">
        <v>192</v>
      </c>
    </row>
    <row r="31" spans="1:2" x14ac:dyDescent="0.2">
      <c r="A31" t="s">
        <v>193</v>
      </c>
      <c r="B31" s="38"/>
    </row>
    <row r="32" spans="1:2" x14ac:dyDescent="0.2">
      <c r="A32" t="s">
        <v>212</v>
      </c>
      <c r="B32" s="38"/>
    </row>
    <row r="33" spans="1:2" x14ac:dyDescent="0.2">
      <c r="B33" s="38"/>
    </row>
    <row r="34" spans="1:2" ht="19" x14ac:dyDescent="0.25">
      <c r="A34" s="42" t="s">
        <v>146</v>
      </c>
    </row>
    <row r="35" spans="1:2" x14ac:dyDescent="0.2">
      <c r="A35" t="s">
        <v>147</v>
      </c>
    </row>
    <row r="36" spans="1:2" x14ac:dyDescent="0.2">
      <c r="A36" t="s">
        <v>213</v>
      </c>
    </row>
    <row r="37" spans="1:2" x14ac:dyDescent="0.2">
      <c r="A37" t="s">
        <v>148</v>
      </c>
    </row>
    <row r="38" spans="1:2" x14ac:dyDescent="0.2">
      <c r="A38" t="s">
        <v>149</v>
      </c>
    </row>
    <row r="39" spans="1:2" x14ac:dyDescent="0.2">
      <c r="A39" t="s">
        <v>150</v>
      </c>
    </row>
    <row r="40" spans="1:2" x14ac:dyDescent="0.2">
      <c r="B40" t="s">
        <v>151</v>
      </c>
    </row>
    <row r="41" spans="1:2" x14ac:dyDescent="0.2">
      <c r="B41" t="s">
        <v>152</v>
      </c>
    </row>
    <row r="42" spans="1:2" x14ac:dyDescent="0.2">
      <c r="A42" t="s">
        <v>153</v>
      </c>
    </row>
    <row r="43" spans="1:2" x14ac:dyDescent="0.2">
      <c r="A43" t="s">
        <v>154</v>
      </c>
    </row>
    <row r="44" spans="1:2" x14ac:dyDescent="0.2">
      <c r="B44" t="s">
        <v>155</v>
      </c>
    </row>
    <row r="45" spans="1:2" x14ac:dyDescent="0.2">
      <c r="B45" t="s">
        <v>152</v>
      </c>
    </row>
    <row r="46" spans="1:2" x14ac:dyDescent="0.2">
      <c r="A46" t="s">
        <v>156</v>
      </c>
    </row>
    <row r="47" spans="1:2" x14ac:dyDescent="0.2">
      <c r="A47" t="s">
        <v>157</v>
      </c>
    </row>
    <row r="48" spans="1:2" x14ac:dyDescent="0.2">
      <c r="B48" t="s">
        <v>158</v>
      </c>
    </row>
    <row r="49" spans="1:2" x14ac:dyDescent="0.2">
      <c r="B49" t="s">
        <v>152</v>
      </c>
    </row>
    <row r="50" spans="1:2" x14ac:dyDescent="0.2">
      <c r="A50" t="s">
        <v>159</v>
      </c>
    </row>
    <row r="51" spans="1:2" x14ac:dyDescent="0.2">
      <c r="A51" t="s">
        <v>160</v>
      </c>
    </row>
    <row r="52" spans="1:2" x14ac:dyDescent="0.2">
      <c r="A52" t="s">
        <v>161</v>
      </c>
    </row>
    <row r="53" spans="1:2" x14ac:dyDescent="0.2">
      <c r="A53" t="s">
        <v>214</v>
      </c>
    </row>
    <row r="54" spans="1:2" x14ac:dyDescent="0.2">
      <c r="B54" s="61" t="s">
        <v>215</v>
      </c>
    </row>
    <row r="55" spans="1:2" x14ac:dyDescent="0.2">
      <c r="B55" s="62" t="s">
        <v>216</v>
      </c>
    </row>
    <row r="56" spans="1:2" x14ac:dyDescent="0.2">
      <c r="B56" s="62" t="s">
        <v>217</v>
      </c>
    </row>
    <row r="57" spans="1:2" x14ac:dyDescent="0.2">
      <c r="B57" s="62" t="s">
        <v>218</v>
      </c>
    </row>
    <row r="59" spans="1:2" ht="19" x14ac:dyDescent="0.25">
      <c r="A59" s="42" t="s">
        <v>184</v>
      </c>
    </row>
    <row r="60" spans="1:2" x14ac:dyDescent="0.2">
      <c r="A60" t="s">
        <v>185</v>
      </c>
    </row>
    <row r="61" spans="1:2" ht="19" x14ac:dyDescent="0.25">
      <c r="A61" s="42" t="s">
        <v>162</v>
      </c>
    </row>
    <row r="62" spans="1:2" x14ac:dyDescent="0.2">
      <c r="A62" s="38" t="s">
        <v>194</v>
      </c>
    </row>
    <row r="63" spans="1:2" x14ac:dyDescent="0.2">
      <c r="A63" s="38" t="s">
        <v>163</v>
      </c>
    </row>
    <row r="64" spans="1:2" x14ac:dyDescent="0.2">
      <c r="A64" t="s">
        <v>164</v>
      </c>
    </row>
    <row r="65" spans="1:2" x14ac:dyDescent="0.2">
      <c r="A65" t="s">
        <v>165</v>
      </c>
    </row>
    <row r="66" spans="1:2" x14ac:dyDescent="0.2">
      <c r="A66" t="s">
        <v>195</v>
      </c>
    </row>
    <row r="67" spans="1:2" x14ac:dyDescent="0.2">
      <c r="A67" t="s">
        <v>166</v>
      </c>
    </row>
    <row r="68" spans="1:2" x14ac:dyDescent="0.2">
      <c r="A68" t="s">
        <v>167</v>
      </c>
    </row>
    <row r="69" spans="1:2" x14ac:dyDescent="0.2">
      <c r="A69" t="s">
        <v>168</v>
      </c>
      <c r="B69" s="38"/>
    </row>
    <row r="70" spans="1:2" x14ac:dyDescent="0.2">
      <c r="A70" t="s">
        <v>169</v>
      </c>
    </row>
    <row r="71" spans="1:2" x14ac:dyDescent="0.2">
      <c r="B71" s="38" t="s">
        <v>170</v>
      </c>
    </row>
    <row r="72" spans="1:2" x14ac:dyDescent="0.2">
      <c r="B72" s="38" t="s">
        <v>139</v>
      </c>
    </row>
    <row r="73" spans="1:2" x14ac:dyDescent="0.2">
      <c r="B73" t="s">
        <v>171</v>
      </c>
    </row>
    <row r="74" spans="1:2" x14ac:dyDescent="0.2">
      <c r="B74" s="38" t="s">
        <v>172</v>
      </c>
    </row>
    <row r="75" spans="1:2" x14ac:dyDescent="0.2">
      <c r="B75" t="s">
        <v>141</v>
      </c>
    </row>
    <row r="76" spans="1:2" x14ac:dyDescent="0.2">
      <c r="B76" s="38" t="s">
        <v>173</v>
      </c>
    </row>
    <row r="77" spans="1:2" x14ac:dyDescent="0.2">
      <c r="B77" t="s">
        <v>174</v>
      </c>
    </row>
    <row r="78" spans="1:2" x14ac:dyDescent="0.2">
      <c r="B78" s="38" t="s">
        <v>196</v>
      </c>
    </row>
    <row r="79" spans="1:2" x14ac:dyDescent="0.2">
      <c r="A79" t="s">
        <v>197</v>
      </c>
    </row>
    <row r="80" spans="1:2" x14ac:dyDescent="0.2">
      <c r="A80" t="s">
        <v>198</v>
      </c>
    </row>
    <row r="81" spans="1:2" x14ac:dyDescent="0.2">
      <c r="A81" t="s">
        <v>199</v>
      </c>
    </row>
    <row r="82" spans="1:2" x14ac:dyDescent="0.2">
      <c r="A82" t="s">
        <v>200</v>
      </c>
    </row>
    <row r="84" spans="1:2" ht="19" x14ac:dyDescent="0.25">
      <c r="A84" s="42" t="s">
        <v>175</v>
      </c>
    </row>
    <row r="85" spans="1:2" x14ac:dyDescent="0.2">
      <c r="A85" s="38" t="s">
        <v>176</v>
      </c>
    </row>
    <row r="86" spans="1:2" x14ac:dyDescent="0.2">
      <c r="A86" t="s">
        <v>177</v>
      </c>
    </row>
    <row r="87" spans="1:2" x14ac:dyDescent="0.2">
      <c r="A87" t="s">
        <v>178</v>
      </c>
    </row>
    <row r="88" spans="1:2" x14ac:dyDescent="0.2">
      <c r="A88" t="s">
        <v>179</v>
      </c>
    </row>
    <row r="89" spans="1:2" x14ac:dyDescent="0.2">
      <c r="B89" s="38" t="s">
        <v>180</v>
      </c>
    </row>
    <row r="90" spans="1:2" x14ac:dyDescent="0.2">
      <c r="B90" s="38" t="s">
        <v>201</v>
      </c>
    </row>
    <row r="91" spans="1:2" x14ac:dyDescent="0.2">
      <c r="B91" s="38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EXCEL</vt:lpstr>
      <vt:lpstr>PYTHON-1</vt:lpstr>
      <vt:lpstr>PYTHON-2</vt:lpstr>
      <vt:lpstr>MARKDOWN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Richard Hendriks</cp:lastModifiedBy>
  <cp:lastPrinted>2013-02-26T19:06:28Z</cp:lastPrinted>
  <dcterms:created xsi:type="dcterms:W3CDTF">2011-08-16T14:05:14Z</dcterms:created>
  <dcterms:modified xsi:type="dcterms:W3CDTF">2025-05-14T15:54:50Z</dcterms:modified>
</cp:coreProperties>
</file>